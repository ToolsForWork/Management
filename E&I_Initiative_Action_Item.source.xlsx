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portal.kiewit.com/sites/1EElectrical/Shared Documents/1E Electrical and Instrumentation - Department Homepage/05. Initiatives/"/>
    </mc:Choice>
  </mc:AlternateContent>
  <xr:revisionPtr revIDLastSave="15" documentId="1_{445F6951-B90B-4BAD-8022-5DA07059D8B6}" xr6:coauthVersionLast="47" xr6:coauthVersionMax="47" xr10:uidLastSave="{DACC36AC-A082-457A-9027-F682040C6B61}"/>
  <bookViews>
    <workbookView xWindow="10848" yWindow="12852" windowWidth="23256" windowHeight="13176" firstSheet="1" activeTab="1" xr2:uid="{00000000-000D-0000-FFFF-FFFF00000000}"/>
  </bookViews>
  <sheets>
    <sheet name="Initiative List" sheetId="3" r:id="rId1"/>
    <sheet name="Executive Dashboard" sheetId="1" r:id="rId2"/>
    <sheet name="Assignment Progress Weekly" sheetId="6" r:id="rId3"/>
    <sheet name="Spent Hours" sheetId="7" r:id="rId4"/>
    <sheet name="Weekly Tracking" sheetId="2" r:id="rId5"/>
    <sheet name="Lookup" sheetId="4" r:id="rId6"/>
    <sheet name="How to Update" sheetId="5" r:id="rId7"/>
  </sheets>
  <definedNames>
    <definedName name="_xlnm._FilterDatabase" localSheetId="1" hidden="1">'Executive Dashboard'!$H$59:$L$59</definedName>
    <definedName name="_xlchart.v1.0" hidden="1">'Executive Dashboard'!$H$31:$H$53</definedName>
    <definedName name="_xlchart.v1.1" hidden="1">'Executive Dashboard'!$M$30</definedName>
    <definedName name="_xlchart.v1.2" hidden="1">'Executive Dashboard'!$M$31:$M$53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2" l="1"/>
  <c r="E13" i="2"/>
  <c r="J13" i="2"/>
  <c r="K13" i="2" s="1"/>
  <c r="G13" i="2"/>
  <c r="I13" i="2" s="1"/>
  <c r="H13" i="2"/>
  <c r="C13" i="2"/>
  <c r="D13" i="2" s="1"/>
  <c r="D26" i="1"/>
  <c r="C26" i="1"/>
  <c r="B26" i="1"/>
  <c r="A26" i="1"/>
  <c r="A25" i="1"/>
  <c r="J12" i="2"/>
  <c r="K12" i="2" s="1"/>
  <c r="G12" i="2"/>
  <c r="C12" i="2"/>
  <c r="J11" i="2"/>
  <c r="K11" i="2" s="1"/>
  <c r="G11" i="2"/>
  <c r="C11" i="2"/>
  <c r="A24" i="1"/>
  <c r="I12" i="2" l="1"/>
  <c r="V135" i="3"/>
  <c r="O135" i="3"/>
  <c r="K4" i="6" l="1"/>
  <c r="K5" i="6"/>
  <c r="K6" i="6"/>
  <c r="K7" i="6"/>
  <c r="K8" i="6"/>
  <c r="K9" i="6"/>
  <c r="K10" i="6"/>
  <c r="K11" i="6"/>
  <c r="K12" i="6"/>
  <c r="K13" i="6"/>
  <c r="K14" i="6"/>
  <c r="K15" i="6"/>
  <c r="K16" i="6"/>
  <c r="K17" i="6"/>
  <c r="K18" i="6"/>
  <c r="K19" i="6"/>
  <c r="K20" i="6"/>
  <c r="K21" i="6"/>
  <c r="K22" i="6"/>
  <c r="K23" i="6"/>
  <c r="K24" i="6"/>
  <c r="K25" i="6"/>
  <c r="K26" i="6"/>
  <c r="K27" i="6"/>
  <c r="K3" i="6"/>
  <c r="I28" i="6"/>
  <c r="H28" i="6"/>
  <c r="H29" i="6" s="1"/>
  <c r="V133" i="3"/>
  <c r="Q133" i="3"/>
  <c r="R133" i="3" s="1"/>
  <c r="O133" i="3"/>
  <c r="M133" i="3"/>
  <c r="A23" i="1"/>
  <c r="A22" i="1"/>
  <c r="E28" i="6"/>
  <c r="F28" i="6"/>
  <c r="Q34" i="3"/>
  <c r="R34" i="3" s="1"/>
  <c r="M34" i="3"/>
  <c r="V34" i="3"/>
  <c r="O34" i="3"/>
  <c r="M22" i="3"/>
  <c r="O22" i="3"/>
  <c r="Q22" i="3"/>
  <c r="R22" i="3" s="1"/>
  <c r="V22" i="3"/>
  <c r="M23" i="3"/>
  <c r="O23" i="3"/>
  <c r="Q23" i="3"/>
  <c r="R23" i="3" s="1"/>
  <c r="V23" i="3"/>
  <c r="M24" i="3"/>
  <c r="O24" i="3"/>
  <c r="Q24" i="3"/>
  <c r="R24" i="3" s="1"/>
  <c r="V24" i="3"/>
  <c r="M25" i="3"/>
  <c r="O25" i="3"/>
  <c r="Q25" i="3"/>
  <c r="R25" i="3" s="1"/>
  <c r="V25" i="3"/>
  <c r="M26" i="3"/>
  <c r="O26" i="3"/>
  <c r="Q26" i="3"/>
  <c r="R26" i="3" s="1"/>
  <c r="V26" i="3"/>
  <c r="M27" i="3"/>
  <c r="O27" i="3"/>
  <c r="Q27" i="3"/>
  <c r="R27" i="3" s="1"/>
  <c r="V27" i="3"/>
  <c r="M28" i="3"/>
  <c r="O28" i="3"/>
  <c r="Q28" i="3"/>
  <c r="R28" i="3" s="1"/>
  <c r="V28" i="3"/>
  <c r="M29" i="3"/>
  <c r="O29" i="3"/>
  <c r="Q29" i="3"/>
  <c r="R29" i="3" s="1"/>
  <c r="V29" i="3"/>
  <c r="M30" i="3"/>
  <c r="O30" i="3"/>
  <c r="Q30" i="3"/>
  <c r="R30" i="3" s="1"/>
  <c r="V30" i="3"/>
  <c r="M31" i="3"/>
  <c r="O31" i="3"/>
  <c r="Q31" i="3"/>
  <c r="R31" i="3" s="1"/>
  <c r="V31" i="3"/>
  <c r="M32" i="3"/>
  <c r="O32" i="3"/>
  <c r="Q32" i="3"/>
  <c r="R32" i="3" s="1"/>
  <c r="V32" i="3"/>
  <c r="M33" i="3"/>
  <c r="O33" i="3"/>
  <c r="Q33" i="3"/>
  <c r="R33" i="3" s="1"/>
  <c r="V33" i="3"/>
  <c r="V35" i="3"/>
  <c r="M35" i="3"/>
  <c r="O35" i="3"/>
  <c r="Q35" i="3"/>
  <c r="R35" i="3" s="1"/>
  <c r="O132" i="3"/>
  <c r="V132" i="3"/>
  <c r="H31" i="1" a="1"/>
  <c r="I41" i="1" s="1"/>
  <c r="B28" i="6"/>
  <c r="C28" i="6"/>
  <c r="B29" i="6"/>
  <c r="A21" i="1"/>
  <c r="V131" i="3"/>
  <c r="Q131" i="3"/>
  <c r="R131" i="3" s="1"/>
  <c r="O131" i="3"/>
  <c r="P131" i="3" s="1"/>
  <c r="I16" i="1"/>
  <c r="I17" i="1"/>
  <c r="I18" i="1"/>
  <c r="I15" i="1"/>
  <c r="H16" i="1"/>
  <c r="H17" i="1"/>
  <c r="H18" i="1"/>
  <c r="H15" i="1"/>
  <c r="I78" i="1"/>
  <c r="K78" i="1" s="1"/>
  <c r="J78" i="1"/>
  <c r="I79" i="1"/>
  <c r="K79" i="1" s="1"/>
  <c r="J79" i="1"/>
  <c r="I81" i="1"/>
  <c r="K81" i="1" s="1"/>
  <c r="J81" i="1"/>
  <c r="I83" i="1"/>
  <c r="K83" i="1" s="1"/>
  <c r="J83" i="1"/>
  <c r="V3" i="3"/>
  <c r="V4" i="3"/>
  <c r="V5" i="3"/>
  <c r="V6" i="3"/>
  <c r="V7" i="3"/>
  <c r="V8" i="3"/>
  <c r="V9" i="3"/>
  <c r="V10" i="3"/>
  <c r="V11" i="3"/>
  <c r="V12" i="3"/>
  <c r="V13" i="3"/>
  <c r="V14" i="3"/>
  <c r="V15" i="3"/>
  <c r="V16" i="3"/>
  <c r="V17" i="3"/>
  <c r="V18" i="3"/>
  <c r="V19" i="3"/>
  <c r="V20" i="3"/>
  <c r="V21"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2" i="3"/>
  <c r="O3" i="3"/>
  <c r="O4" i="3"/>
  <c r="O5" i="3"/>
  <c r="O6" i="3"/>
  <c r="O7" i="3"/>
  <c r="O8" i="3"/>
  <c r="O9" i="3"/>
  <c r="O10" i="3"/>
  <c r="O11" i="3"/>
  <c r="O12" i="3"/>
  <c r="O13" i="3"/>
  <c r="O14" i="3"/>
  <c r="O15" i="3"/>
  <c r="O16" i="3"/>
  <c r="O17" i="3"/>
  <c r="O18" i="3"/>
  <c r="O19" i="3"/>
  <c r="O20" i="3"/>
  <c r="O21"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2" i="3"/>
  <c r="A20" i="1"/>
  <c r="D3" i="2"/>
  <c r="D4" i="2"/>
  <c r="D5" i="2"/>
  <c r="D6" i="2"/>
  <c r="D2" i="2"/>
  <c r="P133" i="3" l="1"/>
  <c r="P33" i="3"/>
  <c r="P31" i="3"/>
  <c r="P23" i="3"/>
  <c r="P25" i="3"/>
  <c r="P27" i="3"/>
  <c r="P34" i="3"/>
  <c r="E29" i="6"/>
  <c r="P35" i="3"/>
  <c r="P24" i="3"/>
  <c r="P29" i="3"/>
  <c r="P32" i="3"/>
  <c r="P26" i="3"/>
  <c r="P28" i="3"/>
  <c r="P30" i="3"/>
  <c r="P22" i="3"/>
  <c r="I40" i="1"/>
  <c r="I43" i="1"/>
  <c r="I53" i="1"/>
  <c r="I39" i="1"/>
  <c r="I52" i="1"/>
  <c r="I38" i="1"/>
  <c r="I51" i="1"/>
  <c r="I37" i="1"/>
  <c r="I50" i="1"/>
  <c r="I36" i="1"/>
  <c r="I49" i="1"/>
  <c r="I35" i="1"/>
  <c r="I48" i="1"/>
  <c r="I34" i="1"/>
  <c r="I47" i="1"/>
  <c r="I33" i="1"/>
  <c r="I46" i="1"/>
  <c r="I32" i="1"/>
  <c r="I45" i="1"/>
  <c r="I44" i="1"/>
  <c r="H31" i="1"/>
  <c r="I31" i="1" s="1"/>
  <c r="I42" i="1"/>
  <c r="J15" i="1"/>
  <c r="J18" i="1"/>
  <c r="J17" i="1"/>
  <c r="J16" i="1"/>
  <c r="B50" i="1"/>
  <c r="C50" i="1"/>
  <c r="B52" i="1"/>
  <c r="B51" i="1"/>
  <c r="D50" i="1"/>
  <c r="A2" i="3"/>
  <c r="A3" i="3" s="1"/>
  <c r="J9" i="1"/>
  <c r="N9" i="1" s="1"/>
  <c r="Q130" i="3"/>
  <c r="R130" i="3" s="1"/>
  <c r="M130" i="3"/>
  <c r="P130" i="3" s="1"/>
  <c r="Q129" i="3"/>
  <c r="R129" i="3" s="1"/>
  <c r="M129" i="3"/>
  <c r="P129" i="3" s="1"/>
  <c r="Q128" i="3"/>
  <c r="R128" i="3" s="1"/>
  <c r="M128" i="3"/>
  <c r="P128" i="3" s="1"/>
  <c r="Q127" i="3"/>
  <c r="R127" i="3" s="1"/>
  <c r="M127" i="3"/>
  <c r="P127" i="3" s="1"/>
  <c r="Q126" i="3"/>
  <c r="R126" i="3" s="1"/>
  <c r="M126" i="3"/>
  <c r="P126" i="3" s="1"/>
  <c r="Q125" i="3"/>
  <c r="R125" i="3" s="1"/>
  <c r="M125" i="3"/>
  <c r="P125" i="3" s="1"/>
  <c r="Q124" i="3"/>
  <c r="R124" i="3" s="1"/>
  <c r="M124" i="3"/>
  <c r="J53" i="1" s="1"/>
  <c r="Q123" i="3"/>
  <c r="R123" i="3" s="1"/>
  <c r="M123" i="3"/>
  <c r="P123" i="3" s="1"/>
  <c r="Q122" i="3"/>
  <c r="R122" i="3" s="1"/>
  <c r="M122" i="3"/>
  <c r="P122" i="3" s="1"/>
  <c r="Q121" i="3"/>
  <c r="R121" i="3" s="1"/>
  <c r="M121" i="3"/>
  <c r="P121" i="3" s="1"/>
  <c r="Q120" i="3"/>
  <c r="R120" i="3" s="1"/>
  <c r="M120" i="3"/>
  <c r="P120" i="3" s="1"/>
  <c r="Q119" i="3"/>
  <c r="R119" i="3" s="1"/>
  <c r="M119" i="3"/>
  <c r="P119" i="3" s="1"/>
  <c r="Q118" i="3"/>
  <c r="R118" i="3" s="1"/>
  <c r="M118" i="3"/>
  <c r="P118" i="3" s="1"/>
  <c r="Q117" i="3"/>
  <c r="R117" i="3" s="1"/>
  <c r="M117" i="3"/>
  <c r="P117" i="3" s="1"/>
  <c r="Q116" i="3"/>
  <c r="R116" i="3" s="1"/>
  <c r="M116" i="3"/>
  <c r="P116" i="3" s="1"/>
  <c r="Q115" i="3"/>
  <c r="R115" i="3" s="1"/>
  <c r="M115" i="3"/>
  <c r="P115" i="3" s="1"/>
  <c r="Q114" i="3"/>
  <c r="R114" i="3" s="1"/>
  <c r="M114" i="3"/>
  <c r="P114" i="3" s="1"/>
  <c r="Q113" i="3"/>
  <c r="R113" i="3" s="1"/>
  <c r="M113" i="3"/>
  <c r="P113" i="3" s="1"/>
  <c r="Q112" i="3"/>
  <c r="R112" i="3" s="1"/>
  <c r="M112" i="3"/>
  <c r="P112" i="3" s="1"/>
  <c r="Q111" i="3"/>
  <c r="R111" i="3" s="1"/>
  <c r="M111" i="3"/>
  <c r="Q110" i="3"/>
  <c r="R110" i="3" s="1"/>
  <c r="M110" i="3"/>
  <c r="P110" i="3" s="1"/>
  <c r="Q109" i="3"/>
  <c r="R109" i="3" s="1"/>
  <c r="M109" i="3"/>
  <c r="Q108" i="3"/>
  <c r="R108" i="3" s="1"/>
  <c r="M108" i="3"/>
  <c r="Q107" i="3"/>
  <c r="R107" i="3" s="1"/>
  <c r="M107" i="3"/>
  <c r="Q106" i="3"/>
  <c r="R106" i="3" s="1"/>
  <c r="M106" i="3"/>
  <c r="P106" i="3" s="1"/>
  <c r="Q105" i="3"/>
  <c r="R105" i="3" s="1"/>
  <c r="M105" i="3"/>
  <c r="P105" i="3" s="1"/>
  <c r="Q104" i="3"/>
  <c r="R104" i="3" s="1"/>
  <c r="M104" i="3"/>
  <c r="Q103" i="3"/>
  <c r="R103" i="3" s="1"/>
  <c r="M103" i="3"/>
  <c r="P103" i="3" s="1"/>
  <c r="Q102" i="3"/>
  <c r="R102" i="3" s="1"/>
  <c r="M102" i="3"/>
  <c r="P102" i="3" s="1"/>
  <c r="Q101" i="3"/>
  <c r="R101" i="3" s="1"/>
  <c r="M101" i="3"/>
  <c r="P101" i="3" s="1"/>
  <c r="Q100" i="3"/>
  <c r="R100" i="3" s="1"/>
  <c r="M100" i="3"/>
  <c r="P100" i="3" s="1"/>
  <c r="Q99" i="3"/>
  <c r="R99" i="3" s="1"/>
  <c r="M99" i="3"/>
  <c r="P99" i="3" s="1"/>
  <c r="Q98" i="3"/>
  <c r="R98" i="3" s="1"/>
  <c r="M98" i="3"/>
  <c r="P98" i="3" s="1"/>
  <c r="Q97" i="3"/>
  <c r="R97" i="3" s="1"/>
  <c r="M97" i="3"/>
  <c r="P97" i="3" s="1"/>
  <c r="Q96" i="3"/>
  <c r="R96" i="3" s="1"/>
  <c r="M96" i="3"/>
  <c r="Q95" i="3"/>
  <c r="R95" i="3" s="1"/>
  <c r="M95" i="3"/>
  <c r="P95" i="3" s="1"/>
  <c r="Q94" i="3"/>
  <c r="R94" i="3" s="1"/>
  <c r="M94" i="3"/>
  <c r="P94" i="3" s="1"/>
  <c r="Q93" i="3"/>
  <c r="R93" i="3" s="1"/>
  <c r="M93" i="3"/>
  <c r="Q92" i="3"/>
  <c r="R92" i="3" s="1"/>
  <c r="M92" i="3"/>
  <c r="P92" i="3" s="1"/>
  <c r="Q91" i="3"/>
  <c r="R91" i="3" s="1"/>
  <c r="M91" i="3"/>
  <c r="P91" i="3" s="1"/>
  <c r="Q90" i="3"/>
  <c r="R90" i="3" s="1"/>
  <c r="M90" i="3"/>
  <c r="Q89" i="3"/>
  <c r="R89" i="3" s="1"/>
  <c r="M89" i="3"/>
  <c r="P89" i="3" s="1"/>
  <c r="Q88" i="3"/>
  <c r="R88" i="3" s="1"/>
  <c r="M88" i="3"/>
  <c r="P88" i="3" s="1"/>
  <c r="Q87" i="3"/>
  <c r="R87" i="3" s="1"/>
  <c r="M87" i="3"/>
  <c r="P87" i="3" s="1"/>
  <c r="Q86" i="3"/>
  <c r="R86" i="3" s="1"/>
  <c r="M86" i="3"/>
  <c r="P86" i="3" s="1"/>
  <c r="Q85" i="3"/>
  <c r="R85" i="3" s="1"/>
  <c r="M85" i="3"/>
  <c r="P85" i="3" s="1"/>
  <c r="Q84" i="3"/>
  <c r="R84" i="3" s="1"/>
  <c r="M84" i="3"/>
  <c r="P84" i="3" s="1"/>
  <c r="Q83" i="3"/>
  <c r="R83" i="3" s="1"/>
  <c r="M83" i="3"/>
  <c r="P83" i="3" s="1"/>
  <c r="Q82" i="3"/>
  <c r="R82" i="3" s="1"/>
  <c r="M82" i="3"/>
  <c r="P82" i="3" s="1"/>
  <c r="Q81" i="3"/>
  <c r="R81" i="3" s="1"/>
  <c r="M81" i="3"/>
  <c r="P81" i="3" s="1"/>
  <c r="Q80" i="3"/>
  <c r="R80" i="3" s="1"/>
  <c r="M80" i="3"/>
  <c r="P80" i="3" s="1"/>
  <c r="Q79" i="3"/>
  <c r="R79" i="3" s="1"/>
  <c r="M79" i="3"/>
  <c r="P79" i="3" s="1"/>
  <c r="Q78" i="3"/>
  <c r="R78" i="3" s="1"/>
  <c r="M78" i="3"/>
  <c r="P78" i="3" s="1"/>
  <c r="Q77" i="3"/>
  <c r="R77" i="3" s="1"/>
  <c r="M77" i="3"/>
  <c r="P77" i="3" s="1"/>
  <c r="Q76" i="3"/>
  <c r="R76" i="3" s="1"/>
  <c r="M76" i="3"/>
  <c r="P76" i="3" s="1"/>
  <c r="Q75" i="3"/>
  <c r="R75" i="3" s="1"/>
  <c r="M75" i="3"/>
  <c r="P75" i="3" s="1"/>
  <c r="Q74" i="3"/>
  <c r="R74" i="3" s="1"/>
  <c r="M74" i="3"/>
  <c r="Q73" i="3"/>
  <c r="R73" i="3" s="1"/>
  <c r="M73" i="3"/>
  <c r="Q72" i="3"/>
  <c r="R72" i="3" s="1"/>
  <c r="M72" i="3"/>
  <c r="P72" i="3" s="1"/>
  <c r="Q71" i="3"/>
  <c r="R71" i="3" s="1"/>
  <c r="M71" i="3"/>
  <c r="P71" i="3" s="1"/>
  <c r="Q70" i="3"/>
  <c r="R70" i="3" s="1"/>
  <c r="M70" i="3"/>
  <c r="P70" i="3" s="1"/>
  <c r="Q69" i="3"/>
  <c r="R69" i="3" s="1"/>
  <c r="M69" i="3"/>
  <c r="P69" i="3" s="1"/>
  <c r="Q68" i="3"/>
  <c r="R68" i="3" s="1"/>
  <c r="M68" i="3"/>
  <c r="P68" i="3" s="1"/>
  <c r="Q67" i="3"/>
  <c r="R67" i="3" s="1"/>
  <c r="M67" i="3"/>
  <c r="P67" i="3" s="1"/>
  <c r="Q66" i="3"/>
  <c r="R66" i="3" s="1"/>
  <c r="M66" i="3"/>
  <c r="Q65" i="3"/>
  <c r="R65" i="3" s="1"/>
  <c r="M65" i="3"/>
  <c r="P65" i="3" s="1"/>
  <c r="Q64" i="3"/>
  <c r="R64" i="3" s="1"/>
  <c r="M64" i="3"/>
  <c r="P64" i="3" s="1"/>
  <c r="Q63" i="3"/>
  <c r="R63" i="3" s="1"/>
  <c r="M63" i="3"/>
  <c r="Q62" i="3"/>
  <c r="R62" i="3" s="1"/>
  <c r="M62" i="3"/>
  <c r="P62" i="3" s="1"/>
  <c r="Q61" i="3"/>
  <c r="R61" i="3" s="1"/>
  <c r="M61" i="3"/>
  <c r="Q60" i="3"/>
  <c r="R60" i="3" s="1"/>
  <c r="M60" i="3"/>
  <c r="P60" i="3" s="1"/>
  <c r="Q59" i="3"/>
  <c r="R59" i="3" s="1"/>
  <c r="M59" i="3"/>
  <c r="Q58" i="3"/>
  <c r="R58" i="3" s="1"/>
  <c r="M58" i="3"/>
  <c r="P58" i="3" s="1"/>
  <c r="Q57" i="3"/>
  <c r="R57" i="3" s="1"/>
  <c r="M57" i="3"/>
  <c r="P57" i="3" s="1"/>
  <c r="Q56" i="3"/>
  <c r="R56" i="3" s="1"/>
  <c r="M56" i="3"/>
  <c r="P56" i="3" s="1"/>
  <c r="Q55" i="3"/>
  <c r="R55" i="3" s="1"/>
  <c r="M55" i="3"/>
  <c r="P55" i="3" s="1"/>
  <c r="Q54" i="3"/>
  <c r="R54" i="3" s="1"/>
  <c r="M54" i="3"/>
  <c r="P54" i="3" s="1"/>
  <c r="Q53" i="3"/>
  <c r="R53" i="3" s="1"/>
  <c r="M53" i="3"/>
  <c r="P53" i="3" s="1"/>
  <c r="Q52" i="3"/>
  <c r="R52" i="3" s="1"/>
  <c r="M52" i="3"/>
  <c r="P52" i="3" s="1"/>
  <c r="Q51" i="3"/>
  <c r="R51" i="3" s="1"/>
  <c r="M51" i="3"/>
  <c r="P51" i="3" s="1"/>
  <c r="Q50" i="3"/>
  <c r="R50" i="3" s="1"/>
  <c r="M50" i="3"/>
  <c r="P50" i="3" s="1"/>
  <c r="Q49" i="3"/>
  <c r="R49" i="3" s="1"/>
  <c r="M49" i="3"/>
  <c r="P49" i="3" s="1"/>
  <c r="Q48" i="3"/>
  <c r="R48" i="3" s="1"/>
  <c r="M48" i="3"/>
  <c r="P48" i="3" s="1"/>
  <c r="Q47" i="3"/>
  <c r="R47" i="3" s="1"/>
  <c r="M47" i="3"/>
  <c r="P47" i="3" s="1"/>
  <c r="Q46" i="3"/>
  <c r="R46" i="3" s="1"/>
  <c r="M46" i="3"/>
  <c r="P46" i="3" s="1"/>
  <c r="Q45" i="3"/>
  <c r="R45" i="3" s="1"/>
  <c r="M45" i="3"/>
  <c r="P45" i="3" s="1"/>
  <c r="Q44" i="3"/>
  <c r="R44" i="3" s="1"/>
  <c r="M44" i="3"/>
  <c r="P44" i="3" s="1"/>
  <c r="Q43" i="3"/>
  <c r="R43" i="3" s="1"/>
  <c r="M43" i="3"/>
  <c r="P43" i="3" s="1"/>
  <c r="Q42" i="3"/>
  <c r="R42" i="3" s="1"/>
  <c r="M42" i="3"/>
  <c r="P42" i="3" s="1"/>
  <c r="Q41" i="3"/>
  <c r="R41" i="3" s="1"/>
  <c r="M41" i="3"/>
  <c r="P41" i="3" s="1"/>
  <c r="Q40" i="3"/>
  <c r="R40" i="3" s="1"/>
  <c r="M40" i="3"/>
  <c r="P40" i="3" s="1"/>
  <c r="Q39" i="3"/>
  <c r="R39" i="3" s="1"/>
  <c r="M39" i="3"/>
  <c r="P39" i="3" s="1"/>
  <c r="Q38" i="3"/>
  <c r="R38" i="3" s="1"/>
  <c r="M38" i="3"/>
  <c r="P38" i="3" s="1"/>
  <c r="Q37" i="3"/>
  <c r="R37" i="3" s="1"/>
  <c r="M37" i="3"/>
  <c r="Q36" i="3"/>
  <c r="R36" i="3" s="1"/>
  <c r="M36" i="3"/>
  <c r="P36" i="3" s="1"/>
  <c r="Q21" i="3"/>
  <c r="R21" i="3" s="1"/>
  <c r="M21" i="3"/>
  <c r="Q20" i="3"/>
  <c r="R20" i="3" s="1"/>
  <c r="M20" i="3"/>
  <c r="Q19" i="3"/>
  <c r="R19" i="3" s="1"/>
  <c r="M19" i="3"/>
  <c r="Q18" i="3"/>
  <c r="R18" i="3" s="1"/>
  <c r="M18" i="3"/>
  <c r="Q17" i="3"/>
  <c r="R17" i="3" s="1"/>
  <c r="M17" i="3"/>
  <c r="Q16" i="3"/>
  <c r="R16" i="3" s="1"/>
  <c r="M16" i="3"/>
  <c r="Q15" i="3"/>
  <c r="R15" i="3" s="1"/>
  <c r="M15" i="3"/>
  <c r="Q14" i="3"/>
  <c r="R14" i="3" s="1"/>
  <c r="M14" i="3"/>
  <c r="P14" i="3" s="1"/>
  <c r="Q13" i="3"/>
  <c r="R13" i="3" s="1"/>
  <c r="M13" i="3"/>
  <c r="Q12" i="3"/>
  <c r="R12" i="3" s="1"/>
  <c r="M12" i="3"/>
  <c r="Q11" i="3"/>
  <c r="R11" i="3" s="1"/>
  <c r="M11" i="3"/>
  <c r="Q10" i="3"/>
  <c r="R10" i="3" s="1"/>
  <c r="M10" i="3"/>
  <c r="P10" i="3" s="1"/>
  <c r="Q9" i="3"/>
  <c r="R9" i="3" s="1"/>
  <c r="M9" i="3"/>
  <c r="Q8" i="3"/>
  <c r="R8" i="3" s="1"/>
  <c r="M8" i="3"/>
  <c r="P8" i="3" s="1"/>
  <c r="Q7" i="3"/>
  <c r="R7" i="3" s="1"/>
  <c r="M7" i="3"/>
  <c r="J35" i="1" s="1"/>
  <c r="Q6" i="3"/>
  <c r="R6" i="3" s="1"/>
  <c r="M6" i="3"/>
  <c r="Q5" i="3"/>
  <c r="R5" i="3" s="1"/>
  <c r="M5" i="3"/>
  <c r="Q4" i="3"/>
  <c r="R4" i="3" s="1"/>
  <c r="M4" i="3"/>
  <c r="Q3" i="3"/>
  <c r="R3" i="3" s="1"/>
  <c r="M3" i="3"/>
  <c r="Q2" i="3"/>
  <c r="M2" i="3"/>
  <c r="J10" i="2"/>
  <c r="K10" i="2" s="1"/>
  <c r="G10" i="2"/>
  <c r="I11" i="2" s="1"/>
  <c r="J9" i="2"/>
  <c r="K9" i="2" s="1"/>
  <c r="G9" i="2"/>
  <c r="J8" i="2"/>
  <c r="K8" i="2" s="1"/>
  <c r="G8" i="2"/>
  <c r="J7" i="2"/>
  <c r="K7" i="2" s="1"/>
  <c r="G7" i="2"/>
  <c r="J6" i="2"/>
  <c r="K6" i="2" s="1"/>
  <c r="H6" i="2"/>
  <c r="G6" i="2"/>
  <c r="J5" i="2"/>
  <c r="K5" i="2" s="1"/>
  <c r="H5" i="2"/>
  <c r="D18" i="1" s="1"/>
  <c r="G5" i="2"/>
  <c r="J4" i="2"/>
  <c r="K4" i="2" s="1"/>
  <c r="H4" i="2"/>
  <c r="G4" i="2"/>
  <c r="J3" i="2"/>
  <c r="K3" i="2" s="1"/>
  <c r="H3" i="2"/>
  <c r="G3" i="2"/>
  <c r="J2" i="2"/>
  <c r="K2" i="2" s="1"/>
  <c r="H2" i="2"/>
  <c r="G2" i="2"/>
  <c r="I2" i="2" s="1"/>
  <c r="D19" i="1"/>
  <c r="C19" i="1"/>
  <c r="B19" i="1"/>
  <c r="A19" i="1"/>
  <c r="C18" i="1"/>
  <c r="B18" i="1"/>
  <c r="A18" i="1"/>
  <c r="D17" i="1"/>
  <c r="C17" i="1"/>
  <c r="B17" i="1"/>
  <c r="A17" i="1"/>
  <c r="D16" i="1"/>
  <c r="C16" i="1"/>
  <c r="B16" i="1"/>
  <c r="A16" i="1"/>
  <c r="D15" i="1"/>
  <c r="C15" i="1"/>
  <c r="B15" i="1"/>
  <c r="A15" i="1"/>
  <c r="I3" i="2" l="1"/>
  <c r="I4" i="2"/>
  <c r="I5" i="2"/>
  <c r="I6" i="2"/>
  <c r="J84" i="1"/>
  <c r="R2" i="3"/>
  <c r="P17" i="3"/>
  <c r="P37" i="3"/>
  <c r="P21" i="3"/>
  <c r="J42" i="1"/>
  <c r="A4" i="3"/>
  <c r="A5" i="3" s="1"/>
  <c r="A6" i="3" s="1"/>
  <c r="A7" i="3" s="1"/>
  <c r="A8" i="3" s="1"/>
  <c r="A9" i="3" s="1"/>
  <c r="A10" i="3" s="1"/>
  <c r="A11" i="3" s="1"/>
  <c r="A12" i="3" s="1"/>
  <c r="A13" i="3" s="1"/>
  <c r="A14" i="3" s="1"/>
  <c r="A15" i="3" s="1"/>
  <c r="A16" i="3" s="1"/>
  <c r="A17" i="3" s="1"/>
  <c r="A18" i="3" s="1"/>
  <c r="A19" i="3" s="1"/>
  <c r="A20" i="3" s="1"/>
  <c r="A21" i="3" s="1"/>
  <c r="A22" i="3" s="1"/>
  <c r="A23" i="3" s="1"/>
  <c r="A24" i="3" s="1"/>
  <c r="P16" i="3"/>
  <c r="P66" i="3"/>
  <c r="I82" i="1"/>
  <c r="K82" i="1" s="1"/>
  <c r="J82" i="1"/>
  <c r="I84" i="1"/>
  <c r="K84" i="1" s="1"/>
  <c r="I8" i="2"/>
  <c r="J44" i="1"/>
  <c r="J34" i="1"/>
  <c r="P2" i="3"/>
  <c r="J31" i="1"/>
  <c r="P3" i="3"/>
  <c r="J32" i="1"/>
  <c r="P5" i="3"/>
  <c r="J33" i="1"/>
  <c r="P11" i="3"/>
  <c r="J36" i="1"/>
  <c r="P12" i="3"/>
  <c r="J37" i="1"/>
  <c r="P13" i="3"/>
  <c r="J38" i="1"/>
  <c r="P18" i="3"/>
  <c r="J39" i="1"/>
  <c r="P19" i="3"/>
  <c r="J40" i="1"/>
  <c r="P20" i="3"/>
  <c r="J41" i="1"/>
  <c r="P74" i="3"/>
  <c r="J43" i="1"/>
  <c r="P93" i="3"/>
  <c r="J45" i="1"/>
  <c r="P96" i="3"/>
  <c r="J46" i="1"/>
  <c r="P104" i="3"/>
  <c r="J47" i="1"/>
  <c r="P107" i="3"/>
  <c r="J48" i="1"/>
  <c r="P108" i="3"/>
  <c r="J49" i="1"/>
  <c r="P109" i="3"/>
  <c r="J50" i="1"/>
  <c r="P111" i="3"/>
  <c r="J51" i="1"/>
  <c r="P124" i="3"/>
  <c r="J52" i="1"/>
  <c r="I10" i="2"/>
  <c r="E50" i="1"/>
  <c r="I9" i="2"/>
  <c r="C52" i="1"/>
  <c r="P59" i="3"/>
  <c r="P90" i="3"/>
  <c r="C7" i="2"/>
  <c r="P63" i="3"/>
  <c r="I73" i="1" s="1"/>
  <c r="K73" i="1" s="1"/>
  <c r="C10" i="2"/>
  <c r="P73" i="3"/>
  <c r="C51" i="1"/>
  <c r="N6" i="1"/>
  <c r="P6" i="3"/>
  <c r="P4" i="3"/>
  <c r="D53" i="1"/>
  <c r="B54" i="1"/>
  <c r="C8" i="2"/>
  <c r="D9" i="1"/>
  <c r="C54" i="1"/>
  <c r="P15" i="3"/>
  <c r="B53" i="1"/>
  <c r="I7" i="2"/>
  <c r="G9" i="1"/>
  <c r="P7" i="3"/>
  <c r="C55" i="1"/>
  <c r="P9" i="3"/>
  <c r="D5" i="1"/>
  <c r="C9" i="2"/>
  <c r="P61" i="3"/>
  <c r="D55" i="1"/>
  <c r="C53" i="1"/>
  <c r="B55" i="1"/>
  <c r="I71" i="1" l="1"/>
  <c r="K71" i="1" s="1"/>
  <c r="J80" i="1"/>
  <c r="J71" i="1"/>
  <c r="I80" i="1"/>
  <c r="K80" i="1" s="1"/>
  <c r="A9" i="1"/>
  <c r="K35" i="1"/>
  <c r="L35" i="1" s="1"/>
  <c r="K41" i="1"/>
  <c r="L41" i="1" s="1"/>
  <c r="J62" i="1"/>
  <c r="I69" i="1"/>
  <c r="K69" i="1" s="1"/>
  <c r="K39" i="1"/>
  <c r="L39" i="1" s="1"/>
  <c r="I67" i="1"/>
  <c r="K67" i="1" s="1"/>
  <c r="I74" i="1"/>
  <c r="K74" i="1" s="1"/>
  <c r="J66" i="1"/>
  <c r="J74" i="1"/>
  <c r="K37" i="1"/>
  <c r="L37" i="1" s="1"/>
  <c r="K43" i="1"/>
  <c r="L43" i="1" s="1"/>
  <c r="K36" i="1"/>
  <c r="L36" i="1" s="1"/>
  <c r="K50" i="1"/>
  <c r="L50" i="1" s="1"/>
  <c r="A30" i="3"/>
  <c r="A31" i="3" s="1"/>
  <c r="A32" i="3" s="1"/>
  <c r="A33" i="3" s="1"/>
  <c r="A34" i="3" s="1"/>
  <c r="A25" i="3"/>
  <c r="A26" i="3" s="1"/>
  <c r="A27" i="3" s="1"/>
  <c r="A28" i="3" s="1"/>
  <c r="A29" i="3" s="1"/>
  <c r="K46" i="1"/>
  <c r="L46" i="1" s="1"/>
  <c r="A36" i="3"/>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35" i="3"/>
  <c r="K47" i="1"/>
  <c r="L47" i="1" s="1"/>
  <c r="J69" i="1"/>
  <c r="K45" i="1"/>
  <c r="L45" i="1" s="1"/>
  <c r="K51" i="1"/>
  <c r="L51" i="1" s="1"/>
  <c r="J76" i="1"/>
  <c r="J64" i="1"/>
  <c r="J75" i="1"/>
  <c r="J65" i="1"/>
  <c r="I65" i="1"/>
  <c r="K65" i="1" s="1"/>
  <c r="K52" i="1"/>
  <c r="L52" i="1" s="1"/>
  <c r="K53" i="1"/>
  <c r="L53" i="1" s="1"/>
  <c r="I66" i="1"/>
  <c r="K66" i="1" s="1"/>
  <c r="K49" i="1"/>
  <c r="L49" i="1" s="1"/>
  <c r="K48" i="1"/>
  <c r="L48" i="1" s="1"/>
  <c r="I68" i="1"/>
  <c r="K68" i="1" s="1"/>
  <c r="J68" i="1"/>
  <c r="I64" i="1"/>
  <c r="K64" i="1" s="1"/>
  <c r="J70" i="1"/>
  <c r="M52" i="1"/>
  <c r="I76" i="1"/>
  <c r="K76" i="1" s="1"/>
  <c r="I62" i="1"/>
  <c r="K62" i="1" s="1"/>
  <c r="I75" i="1"/>
  <c r="K75" i="1" s="1"/>
  <c r="I60" i="1"/>
  <c r="K60" i="1" s="1"/>
  <c r="K34" i="1"/>
  <c r="L34" i="1" s="1"/>
  <c r="I77" i="1"/>
  <c r="K77" i="1" s="1"/>
  <c r="K44" i="1"/>
  <c r="L44" i="1" s="1"/>
  <c r="I72" i="1"/>
  <c r="K72" i="1" s="1"/>
  <c r="K42" i="1"/>
  <c r="L42" i="1" s="1"/>
  <c r="M51" i="1"/>
  <c r="M50" i="1"/>
  <c r="M49" i="1"/>
  <c r="M48" i="1"/>
  <c r="M47" i="1"/>
  <c r="M46" i="1"/>
  <c r="M45" i="1"/>
  <c r="M44" i="1"/>
  <c r="M43" i="1"/>
  <c r="M42" i="1"/>
  <c r="M41" i="1"/>
  <c r="M40" i="1"/>
  <c r="K40" i="1"/>
  <c r="L40" i="1" s="1"/>
  <c r="M39" i="1"/>
  <c r="M38" i="1"/>
  <c r="K38" i="1"/>
  <c r="L38" i="1" s="1"/>
  <c r="M37" i="1"/>
  <c r="M36" i="1"/>
  <c r="M34" i="1"/>
  <c r="M35" i="1"/>
  <c r="M33" i="1"/>
  <c r="K33" i="1"/>
  <c r="L33" i="1" s="1"/>
  <c r="M32" i="1"/>
  <c r="K32" i="1"/>
  <c r="L32" i="1" s="1"/>
  <c r="M31" i="1"/>
  <c r="M53" i="1"/>
  <c r="K31" i="1"/>
  <c r="L31" i="1" s="1"/>
  <c r="N7" i="1"/>
  <c r="J61" i="1"/>
  <c r="J77" i="1"/>
  <c r="J72" i="1"/>
  <c r="J73" i="1"/>
  <c r="I63" i="1"/>
  <c r="K63" i="1" s="1"/>
  <c r="D52" i="1"/>
  <c r="E52" i="1" s="1"/>
  <c r="D51" i="1"/>
  <c r="E51" i="1" s="1"/>
  <c r="E55" i="1"/>
  <c r="I70" i="1"/>
  <c r="K70" i="1" s="1"/>
  <c r="J63" i="1"/>
  <c r="J60" i="1"/>
  <c r="G5" i="1"/>
  <c r="D54" i="1"/>
  <c r="E54" i="1" s="1"/>
  <c r="J67" i="1"/>
  <c r="I61" i="1"/>
  <c r="K61" i="1" s="1"/>
  <c r="E53" i="1"/>
  <c r="C25" i="1" l="1"/>
  <c r="D12" i="2"/>
  <c r="B25" i="1" s="1"/>
  <c r="C23" i="1"/>
  <c r="H12" i="2"/>
  <c r="D25" i="1" s="1"/>
  <c r="C21" i="1"/>
  <c r="A5" i="1"/>
  <c r="J5" i="1"/>
  <c r="C20" i="1"/>
  <c r="J85" i="1"/>
  <c r="I85" i="1"/>
  <c r="N8" i="1"/>
  <c r="H11" i="2" l="1"/>
  <c r="D24" i="1" s="1"/>
  <c r="C24" i="1"/>
  <c r="D11" i="2"/>
  <c r="B24" i="1" s="1"/>
  <c r="C22" i="1"/>
  <c r="I86" i="1"/>
  <c r="D8" i="2"/>
  <c r="H8" i="2"/>
  <c r="D21" i="1" s="1"/>
  <c r="D9" i="2"/>
  <c r="H9" i="2"/>
  <c r="D22" i="1" s="1"/>
  <c r="D7" i="2"/>
  <c r="H7" i="2"/>
  <c r="D20" i="1" s="1"/>
  <c r="D10" i="2"/>
  <c r="B23" i="1" s="1"/>
  <c r="H10" i="2"/>
  <c r="D23" i="1" s="1"/>
  <c r="B20" i="1" l="1"/>
  <c r="B22" i="1"/>
  <c r="B2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<sst xmlns="http://schemas.openxmlformats.org/spreadsheetml/2006/main" count="1893" uniqueCount="466">
  <si>
    <t>Item #</t>
  </si>
  <si>
    <t>Initiative</t>
  </si>
  <si>
    <t>Discipline</t>
  </si>
  <si>
    <t>Category</t>
  </si>
  <si>
    <t>Deliverable</t>
  </si>
  <si>
    <t>Action</t>
  </si>
  <si>
    <t>Assigned To</t>
  </si>
  <si>
    <t>Reviewer</t>
  </si>
  <si>
    <t>Status</t>
  </si>
  <si>
    <t>Notes</t>
  </si>
  <si>
    <t>Priority</t>
  </si>
  <si>
    <t>Due Date</t>
  </si>
  <si>
    <t>Priority Weight</t>
  </si>
  <si>
    <t>Manual Progress %</t>
  </si>
  <si>
    <t>Effective Progress %</t>
  </si>
  <si>
    <t>Weighted Earned</t>
  </si>
  <si>
    <t>Status Bucket</t>
  </si>
  <si>
    <t>Overdue Flag</t>
  </si>
  <si>
    <t>This Week Earned</t>
  </si>
  <si>
    <t>Last Updated</t>
  </si>
  <si>
    <t>Week Ending</t>
  </si>
  <si>
    <t>Due Quarter Bucket</t>
  </si>
  <si>
    <t>Consistency Workshop</t>
  </si>
  <si>
    <t>E&amp;I Department</t>
  </si>
  <si>
    <t>Estimating</t>
  </si>
  <si>
    <t>Estimate Basis</t>
  </si>
  <si>
    <t xml:space="preserve">Develop an Estimate Basis that applies to projects that don’t have a client design criteria. "how Kieiwt OGC does projects" </t>
  </si>
  <si>
    <t>Ahmad Yakuba</t>
  </si>
  <si>
    <t>Allen Douglas</t>
  </si>
  <si>
    <t>Started</t>
  </si>
  <si>
    <t>build before, during Consistancy Workshops  Homer City
This is needed for Mock Procjects as well</t>
  </si>
  <si>
    <t>High</t>
  </si>
  <si>
    <t>Estimate Document Numbering</t>
  </si>
  <si>
    <t>OGC</t>
  </si>
  <si>
    <t>Document Control</t>
  </si>
  <si>
    <t>Teambinder Numbering</t>
  </si>
  <si>
    <t>Apply TeamBinder Document Numbering to Rock County (E&amp;I)</t>
  </si>
  <si>
    <t>HOLD</t>
  </si>
  <si>
    <t>Need to finish before Department Meeting Friday 4/24 if possible</t>
  </si>
  <si>
    <t>Show Rock County Example to Department Managers</t>
  </si>
  <si>
    <t>Must complete Item 2 - Rock County Numbering</t>
  </si>
  <si>
    <t>Indicative Tool</t>
  </si>
  <si>
    <t>Instrumentation and Controls</t>
  </si>
  <si>
    <t>Developing high-level quantities for instrumentation, controls and Telecoms for ammonia plants, to add it to the indicative procedure and data source.</t>
  </si>
  <si>
    <t>John McGoldrick</t>
  </si>
  <si>
    <t>Closed Out</t>
  </si>
  <si>
    <t>ETA expected by May 1st. Not fisnihed yet due to commitments with Texas LNG estimate changes.
TLNG holding up progress (at 75%)</t>
  </si>
  <si>
    <t>Critical</t>
  </si>
  <si>
    <t>Initiatives - Future</t>
  </si>
  <si>
    <t>Electrical</t>
  </si>
  <si>
    <t>Procurement</t>
  </si>
  <si>
    <t>OGC Estimate Checklist</t>
  </si>
  <si>
    <t>Electrical Checklist / Matrix / DOR for Pricing Responsiblities</t>
  </si>
  <si>
    <t>In Review</t>
  </si>
  <si>
    <t xml:space="preserve">Use Item 44 final documentation as a go-by and produce the same for Electrical
Sent to Allen for review </t>
  </si>
  <si>
    <t>Medium</t>
  </si>
  <si>
    <t>Mock Project Files</t>
  </si>
  <si>
    <t>Engineering</t>
  </si>
  <si>
    <t>Standard Template</t>
  </si>
  <si>
    <t>Pull Rock County Master P&amp;IDs for use on future Mock Projects</t>
  </si>
  <si>
    <t>Sabina has stated that PID set is getting scrubbed; ready May 22nd
RGLNG is ready for use (PID and Plot Plan)</t>
  </si>
  <si>
    <t>Low</t>
  </si>
  <si>
    <t>Project SharePoint</t>
  </si>
  <si>
    <t>Update standard folder structure for project and send to Sonya</t>
  </si>
  <si>
    <t>Work together through Homer City and submit to DC for implementation</t>
  </si>
  <si>
    <t>Historical / Benchmark Improvement
IO 101023945</t>
  </si>
  <si>
    <t>Ship-Loose database to be used on class2 and indicative estimates quantities, for mechancial equipment.</t>
  </si>
  <si>
    <t>Ahmed Sherif</t>
  </si>
  <si>
    <t>Starting April 23rd. TO start having contact with Aden and Keshika to finalize the modoule's quantities fillout on Query software.
Push to Quarter 3 start to prioritize Energy procedures</t>
  </si>
  <si>
    <t>Q3</t>
  </si>
  <si>
    <t>Department</t>
  </si>
  <si>
    <t>Review and provide feedback to management on current checklist</t>
  </si>
  <si>
    <t>Not Started</t>
  </si>
  <si>
    <t>I&amp;C Adapt Logic</t>
  </si>
  <si>
    <t>ADAPT - Logic</t>
  </si>
  <si>
    <t>Re-do logic test to validate changes/corrections by Adapt Team</t>
  </si>
  <si>
    <t>Keshika Nath Varma</t>
  </si>
  <si>
    <t>Rene Contreras</t>
  </si>
  <si>
    <t>Run the test in Adapt for updates completed by Adapt team.
Some modifications not done yet by Adapt team.</t>
  </si>
  <si>
    <t>Department Display</t>
  </si>
  <si>
    <t>Presentation</t>
  </si>
  <si>
    <t>Build out Technline Racks and Install equipment / Raceways</t>
  </si>
  <si>
    <t>Andy Baruth</t>
  </si>
  <si>
    <t>Texas LNG</t>
  </si>
  <si>
    <t>when hell freezes over</t>
  </si>
  <si>
    <t>White Paper Reports</t>
  </si>
  <si>
    <t>Lessons Learned / White Paper</t>
  </si>
  <si>
    <t xml:space="preserve">Manage Procurement Comments </t>
  </si>
  <si>
    <t>Vendor</t>
  </si>
  <si>
    <t>Due before next week Wholesale Electric meeting</t>
  </si>
  <si>
    <t>Module Materail Quantity Automation Tool</t>
  </si>
  <si>
    <t>50% Complete</t>
  </si>
  <si>
    <t xml:space="preserve">Automate and align BOQ document with ADAPT account codes. Conducted meeting with Ibrahim. Updating BOQ to include necessary details
</t>
  </si>
  <si>
    <t>RGLNG White Paper(s) TBD</t>
  </si>
  <si>
    <t>Construction</t>
  </si>
  <si>
    <t>Allen has emails from Engineering and needs Carlos Serrano at site to give construction lessons learned. Not a push until GTPP Item 11 is complete</t>
  </si>
  <si>
    <t>Wire and Cable</t>
  </si>
  <si>
    <t>Cable List</t>
  </si>
  <si>
    <t>Update / check termination count for all cables - 1.0 version 3 cable list has issues in termination formulas that have to be fixed</t>
  </si>
  <si>
    <t>Tyler Reck</t>
  </si>
  <si>
    <t>Approved</t>
  </si>
  <si>
    <t>06/15/2026 -
1.) Used "000000-EL-SPC-0005_Wire and Cable Specification" to add all cables to list.
2.) Wrote formula to quantify terminations and grounding.
3.) Need to write formula on main cable schedule sheet to add Armor and Shield terms.
06/16/2026 - 
1.) Rewrote layouts for each page, to work with new formulas.
06/17/2026 - 
1.) Finished writing new formula for displaying Wire and Cables, Termination, and Gland Pages
06/18/2026 - 
1.) Had meeting with Andy and Raul, tested sheet and got sign off.</t>
  </si>
  <si>
    <t>Grounding</t>
  </si>
  <si>
    <t>ADAPT - Assemblies / KIDs</t>
  </si>
  <si>
    <t>Report back to department what grounding in ADAPT looks like</t>
  </si>
  <si>
    <t>Ali Malik</t>
  </si>
  <si>
    <t>Moves from Oscar to Ali due to Nuclear assigment</t>
  </si>
  <si>
    <t>Initiatives Folder</t>
  </si>
  <si>
    <t>Create Action Item List for E&amp;I Department Initiative Tracking</t>
  </si>
  <si>
    <t>Email sent to department to review and provide feedback</t>
  </si>
  <si>
    <t>Energy Standardization</t>
  </si>
  <si>
    <t>Energy</t>
  </si>
  <si>
    <t>Excel Spreadsheet</t>
  </si>
  <si>
    <t>Add KPE documents to Energy Tracker</t>
  </si>
  <si>
    <t>Allen needs help with this task. Easy copy and paste
04/30/2026 - Turned back over to Allen to review</t>
  </si>
  <si>
    <t>Vendor Presentations</t>
  </si>
  <si>
    <t>Vendor Visit Presenation - Emerson Ovation DCS</t>
  </si>
  <si>
    <t>Presented on 06/22</t>
  </si>
  <si>
    <t>Procedure (Energy)</t>
  </si>
  <si>
    <t>Identify where KPE and OGC are different in procedures</t>
  </si>
  <si>
    <t>Oscar Handal</t>
  </si>
  <si>
    <t>Started 4/22 per Workshop Findings
06/23/2026 - Procedure template complete</t>
  </si>
  <si>
    <t>Cable - General</t>
  </si>
  <si>
    <t>Raceway</t>
  </si>
  <si>
    <t>06/23/2026 - Procedure template complete</t>
  </si>
  <si>
    <t>Lighting</t>
  </si>
  <si>
    <t>Rojna Ghamsari</t>
  </si>
  <si>
    <t>Heat Trace</t>
  </si>
  <si>
    <t>Syed Ali</t>
  </si>
  <si>
    <t>06/24/2026 - Procedure template complete</t>
  </si>
  <si>
    <t>Lightning Protection</t>
  </si>
  <si>
    <t>Cathodic Protection</t>
  </si>
  <si>
    <t>Temporary Power</t>
  </si>
  <si>
    <t>Fire Safety System</t>
  </si>
  <si>
    <t>Instrumentation</t>
  </si>
  <si>
    <t>Control Systems</t>
  </si>
  <si>
    <t>Telecoms</t>
  </si>
  <si>
    <t>Rasheed Oduro</t>
  </si>
  <si>
    <t>06/22/2026 - Procedure template complete</t>
  </si>
  <si>
    <t>Security</t>
  </si>
  <si>
    <t>Facility Equipment</t>
  </si>
  <si>
    <t>Created template procedure for equipment &amp; devices takeoff</t>
  </si>
  <si>
    <t>Dilan Centeno</t>
  </si>
  <si>
    <t>Q2</t>
  </si>
  <si>
    <t>Equipment and Devices</t>
  </si>
  <si>
    <t>Procedure template reviewed and completed (6/26)</t>
  </si>
  <si>
    <t>Align ADAPT with KOE Installation Details (follow Grounding method)</t>
  </si>
  <si>
    <t>25% Complete</t>
  </si>
  <si>
    <t>Requires the completion of Grounding as a go-by
06/25/2026 - Started Task parallel to grounding</t>
  </si>
  <si>
    <t>Cable Tray</t>
  </si>
  <si>
    <t>Available</t>
  </si>
  <si>
    <t>Requires the completion of Grounding as a go-by</t>
  </si>
  <si>
    <t>Conduit</t>
  </si>
  <si>
    <t>Channel Tray</t>
  </si>
  <si>
    <t>DuctBank</t>
  </si>
  <si>
    <r>
      <rPr>
        <sz val="11"/>
        <color rgb="FF000000"/>
        <rFont val="Calibri"/>
        <family val="2"/>
        <scheme val="minor"/>
      </rPr>
      <t xml:space="preserve">Requires the completion of Grounding as a go-by
</t>
    </r>
    <r>
      <rPr>
        <b/>
        <sz val="11"/>
        <color rgb="FF000000"/>
        <rFont val="Calibri"/>
        <family val="2"/>
        <scheme val="minor"/>
      </rPr>
      <t xml:space="preserve">
</t>
    </r>
    <r>
      <rPr>
        <b/>
        <sz val="11"/>
        <color rgb="FFFF0000"/>
        <rFont val="Calibri"/>
        <family val="2"/>
        <scheme val="minor"/>
      </rPr>
      <t>6/19 - Located Masts and Catenary Masts drawing details for assemblies
6/22 - Acquired data from KNS parts list drawing E11065-­F-­5101
6/23 - Pause due to contingencies on grounding</t>
    </r>
  </si>
  <si>
    <t>Receptacle-120V</t>
  </si>
  <si>
    <t>Receptacle-480V</t>
  </si>
  <si>
    <t xml:space="preserve">Review and pick up comments on Playbook </t>
  </si>
  <si>
    <t>Confirm in Wednesday meeting what is next step (if any)</t>
  </si>
  <si>
    <t>Training Improvement
IO 101023951</t>
  </si>
  <si>
    <t>Align on "cradle to grave" of this Catgory  and identify Action Items</t>
  </si>
  <si>
    <r>
      <rPr>
        <sz val="11"/>
        <color rgb="FF000000"/>
        <rFont val="Calibri"/>
        <family val="2"/>
        <scheme val="minor"/>
      </rPr>
      <t xml:space="preserve">Requires the completion of Grounding as a go-by
</t>
    </r>
    <r>
      <rPr>
        <b/>
        <sz val="11"/>
        <color rgb="FFFF0000"/>
        <rFont val="Calibri"/>
        <family val="2"/>
        <scheme val="minor"/>
      </rPr>
      <t>6/22 -</t>
    </r>
    <r>
      <rPr>
        <sz val="11"/>
        <color rgb="FFFF0000"/>
        <rFont val="Calibri"/>
        <family val="2"/>
        <scheme val="minor"/>
      </rPr>
      <t xml:space="preserve"> </t>
    </r>
    <r>
      <rPr>
        <b/>
        <sz val="11"/>
        <color rgb="FFFF0000"/>
        <rFont val="Calibri"/>
        <family val="2"/>
        <scheme val="minor"/>
      </rPr>
      <t>Getting head start while Grounding is still in process.</t>
    </r>
  </si>
  <si>
    <t xml:space="preserve">Requires the completion of Grounding as a go-by
6/23 - Placed </t>
  </si>
  <si>
    <t>Procedure (OGC)</t>
  </si>
  <si>
    <t>Generate Temporary Power Templates</t>
  </si>
  <si>
    <t>Jacob Farsalas</t>
  </si>
  <si>
    <t>Pull most recent project worksheets into folder and turn into maste templates for future use - to Syed</t>
  </si>
  <si>
    <t>Procurement - RFQ</t>
  </si>
  <si>
    <t>Standardize RFQ from Procurement Template to ADAPT Automation</t>
  </si>
  <si>
    <t>Need other Iniatiatives completed before this can start</t>
  </si>
  <si>
    <t>KOE Installation Detail</t>
  </si>
  <si>
    <t>Produce a document that gives acceptable "or Equal" part numbers</t>
  </si>
  <si>
    <t>TBD on who will own this list after completed - Impact to GTPP White Paper</t>
  </si>
  <si>
    <t>Procurement - QCS</t>
  </si>
  <si>
    <t>Standardize 4.30.400 Conduit QCS to align with OGC standards, ADAPT material master, field needs - All possible materials required for installation and supplies. Goal is to use this and not clone from each project QCS</t>
  </si>
  <si>
    <t>Added 6/8</t>
  </si>
  <si>
    <t>Standardize 4.30.440 Lighting Bulks QCS to align with OGC standards, ADAPT material master, field needs - All possible materials required for installation and supplies. Goal is to use this and not clone from each project QCS</t>
  </si>
  <si>
    <t>Standardize 4.30.450 Equipment and Devices QCS to align with OGC standards, ADAPT material master, field needs - All possible materials required for installation and supplies. Goal is to use this and not clone from each project QCS</t>
  </si>
  <si>
    <t>ADAPT - Report</t>
  </si>
  <si>
    <t>Report templates prepared and sent for implementation. 
Adapt Team to complete programing to generate reports.</t>
  </si>
  <si>
    <t>ADAPT</t>
  </si>
  <si>
    <t>Adapt Team confirmed Reports will be implemented in 2.0. (timeline: end of year)</t>
  </si>
  <si>
    <t>Terminations</t>
  </si>
  <si>
    <t>Standardize 4.30.410 Terminations to align with OGC standards, ADAPT material master, field needs - All possible materials required for installation and supplies. Goal is to use this and not clone from each project QCS</t>
  </si>
  <si>
    <t>QCS crreated and updated to ADAPT but need to link to materials and peer review and send to Procurement Team - Mohan Started</t>
  </si>
  <si>
    <t>Standardize 4.30.505  Temp Power Wire &amp; Cable QCS to align with OGC standards, ADAPT material master, field needs - All possible materials required for installation and supplies. Goal is to use this and not clone from each project QCS</t>
  </si>
  <si>
    <t>Standardize 4.30.430 Heat Trace QCS to align with OGC standards, ADAPT material master, field needs - All possible materials required for installation and supplies. Goal is to use this and not clone from each project QCS</t>
  </si>
  <si>
    <t>Standardize 4.30.410 Grounding QCS to align with OGC standards, ADAPT material master, field needs - All possible materials required for installation and supplies. Goal is to use this and not clone from each project QCS</t>
  </si>
  <si>
    <t>Bulk Materials</t>
  </si>
  <si>
    <t>Standardize 4.30.400 Electrical Bulks - Temp Power QCS to align with OGC standards, ADAPT material master, field needs - All possible materials required for installation and supplies. Goal is to use this and not clone from each project QCS</t>
  </si>
  <si>
    <t>Standardize 4.30.450 Electrical Gear (Temp Power) QCS to align with OGC standards, ADAPT material master, field needs - All possible materials required for installation and supplies. Goal is to use this and not clone from each project QCS</t>
  </si>
  <si>
    <t xml:space="preserve">Importing reference projects MEL's and Index into  indicative tool to generate quantities  </t>
  </si>
  <si>
    <t>Projects: VGCP, FPLNG, CLNG, Cronus, FLNG, TXLNG, Yara</t>
  </si>
  <si>
    <t>TBD - Folder Not Created</t>
  </si>
  <si>
    <t>AES Solutions - KOE Expert Analysis Cots are a "0" cost on projects right now</t>
  </si>
  <si>
    <t>Raul Ledezma</t>
  </si>
  <si>
    <t>AE Solutions provides KOE with "review and expert recommendations" which is currently not quantified on estimates. research how to better add these costs through RFQ process</t>
  </si>
  <si>
    <t>Standardize 4.30.500 Wire and Cable QCS to align with OGC standards, ADAPT material master, field needs - All possible materials required for installation and supplies. Goal is to use this and not clone from each project QCS</t>
  </si>
  <si>
    <t>Create standards - what is on/off modules - what to include, how to take it off, and how to report to Module Team</t>
  </si>
  <si>
    <t>Needs all estimating manuals completed first for takeoff before we can complete this item</t>
  </si>
  <si>
    <t>Standardize 4.20.485 Hi-Pot Testing QCS to align with OGC standards, ADAPT material master, field needs - All possible materials required for installation and supplies. Goal is to use this and not clone from each project QCS</t>
  </si>
  <si>
    <t>Sub - Supply &amp; Installation</t>
  </si>
  <si>
    <t>Create standard and QCS on - Subcontractor install/supply electrical &amp; instrumentation for all labor on all OGC work</t>
  </si>
  <si>
    <t>Standardize 4.30.560 Cable Tray QCS to align with OGC standards, ADAPT material master, field needs - All possible materials required for installation and supplies. Goal is to use this and not clone from each project QCS</t>
  </si>
  <si>
    <t>QCS crreated and updated to ADAPT but need to link to materials and peer review and send to Procurement Team</t>
  </si>
  <si>
    <t>Create a procedure standardizing construction power - all inclusive - We have KPE one that needs to be updated and modified. Also need to standardize switchgear type packaged equipment, and SOOW cord wiring for equipment in the field (end to end with slack)</t>
  </si>
  <si>
    <t>Turn A/R material into known quantities - Align with Engineering</t>
  </si>
  <si>
    <t>both S3D and ADAPT need real quantites and should match when takeoffs are performed. Updates will need to be required to all KEGI insatallation details.</t>
  </si>
  <si>
    <t>Consumables Procedures</t>
  </si>
  <si>
    <t xml:space="preserve">understand and discuss how to best capture consumables such as lubricant for wire and cable pulling, terimation coatings, etc. </t>
  </si>
  <si>
    <t>Ratios for tieing ground connections</t>
  </si>
  <si>
    <t xml:space="preserve">currently everything is built on perfect installations. it is known that cable reels are limited and transitions of cable require additional material (4/0 to 4/0 compression connections). Discuss and plan how to implement a ratio or understand that it is acceptable as part of waste percentages. The answer needs to be part of procedure. </t>
  </si>
  <si>
    <t>Electrical Indicative Tool</t>
  </si>
  <si>
    <t>05/06/2026, moved to the below link.  This still requires quarterly maintainance. https://portal.kiewit.com/:f:/r/sites/1EElectrical/Shared%20Documents/1E%20Electrical%20and%20Instrumentation%20-%20Department%20Homepage/02.%20Standards/05.%20Indicative%20Tools/01.%20Electrical?csf=1&amp;web=1&amp;e=5XuCO7</t>
  </si>
  <si>
    <t>Electrical Indicative Tool Procedure</t>
  </si>
  <si>
    <t>Review KPE procedure during bluebeam session (upcoming)</t>
  </si>
  <si>
    <t>Improve account code documentation notes from site visit</t>
  </si>
  <si>
    <t>Due before next week Wholesale Electric meeting
Review Labor Rates findings and make suggested changes (separate white paper)</t>
  </si>
  <si>
    <t>Generation of Instruments and MEL quantities Tables from Reference projects.</t>
  </si>
  <si>
    <t>Projects: VGCP, FPLNG, CLNG, Cronus, FLNG, TXLNG, Yara
Only Amonia type of plant is left to be included in the procedure. Expected to be added by May 1st.</t>
  </si>
  <si>
    <t>Cable Automation</t>
  </si>
  <si>
    <t>Power Cable Basis (By Equipment)</t>
  </si>
  <si>
    <t>Mohan Murugesan</t>
  </si>
  <si>
    <t>Sets standard power cables to be used for estimating per Estimate Basis
New Action to Tyler</t>
  </si>
  <si>
    <t>Automated Cable List</t>
  </si>
  <si>
    <t>Automates the cables required by equpment using the "Power Cable Basis (By Equipment)" spreadsheet
New Action to Tyler</t>
  </si>
  <si>
    <t>Vendor Visit Presenation - Fill Out Who</t>
  </si>
  <si>
    <t>75% Complete</t>
  </si>
  <si>
    <r>
      <rPr>
        <sz val="11"/>
        <color rgb="FF000000"/>
        <rFont val="Calibri"/>
        <family val="2"/>
        <scheme val="minor"/>
      </rPr>
      <t xml:space="preserve">Full time KNS support, set to begin oo after supoort has ended
</t>
    </r>
    <r>
      <rPr>
        <b/>
        <sz val="11"/>
        <color rgb="FFFF0000"/>
        <rFont val="Calibri"/>
        <family val="2"/>
        <scheme val="minor"/>
      </rPr>
      <t>6/19 - Needs review with Raul</t>
    </r>
  </si>
  <si>
    <t>Moved - Procurement Standard</t>
  </si>
  <si>
    <t>I&amp;C Procurement DOR</t>
  </si>
  <si>
    <t>Confrim this is complete and notate where its now located on SharePoint for use…or did it get owned by procurement?</t>
  </si>
  <si>
    <t>Standardize 4.20.355 Lightning Protection QCS to align with OGC standards, ADAPT material master, field needs - All possible materials required for installation and supplies. Goal is to use this and not clone from each project QCS</t>
  </si>
  <si>
    <t>Pause</t>
  </si>
  <si>
    <r>
      <rPr>
        <b/>
        <sz val="11"/>
        <color rgb="FFFFFFFF"/>
        <rFont val="Calibri"/>
        <family val="2"/>
        <scheme val="minor"/>
      </rPr>
      <t xml:space="preserve">6/17 </t>
    </r>
    <r>
      <rPr>
        <b/>
        <sz val="11"/>
        <color rgb="FFFF0000"/>
        <rFont val="Calibri"/>
        <family val="2"/>
        <scheme val="minor"/>
      </rPr>
      <t xml:space="preserve">- Spoke with Kevin through Teams. Installation details and procedures are in the toolbox
</t>
    </r>
    <r>
      <rPr>
        <b/>
        <sz val="11"/>
        <color rgb="FFFFFFFF"/>
        <rFont val="Calibri"/>
        <family val="2"/>
        <scheme val="minor"/>
      </rPr>
      <t>6/22</t>
    </r>
    <r>
      <rPr>
        <b/>
        <sz val="11"/>
        <color rgb="FFFF0000"/>
        <rFont val="Calibri"/>
        <family val="2"/>
        <scheme val="minor"/>
      </rPr>
      <t xml:space="preserve"> - Looking over 000000-EL-DTL-300x_Lightning Protection System (LPS) - Installation Typical Details Drawings</t>
    </r>
  </si>
  <si>
    <t>Generation of information for Indicative report from MEL and Instrument Index</t>
  </si>
  <si>
    <t>Shiploose Pricing Index</t>
  </si>
  <si>
    <t>Build historical data base for shiploose equipment to aid in optimized estimate</t>
  </si>
  <si>
    <t xml:space="preserve">KNS full support </t>
  </si>
  <si>
    <t>Build historical data base for instrumentation to aid in optimized estimate</t>
  </si>
  <si>
    <t>Project's One Note Template: Develop a one note template for all I&amp;C Class  2 Estimates. This in order to organize quantities, punch items, optimizations, etc all in one place.</t>
  </si>
  <si>
    <t>OneNote is complete and available in SharePoint.</t>
  </si>
  <si>
    <t>New DOR for MTO development, this is between Engineering and Estimating. With the purpose to explain and clarify what are the MTOs and their quality, to be transferred to Estimating phase.</t>
  </si>
  <si>
    <t>DOR is completed and located in SharePoint</t>
  </si>
  <si>
    <t>Word Document</t>
  </si>
  <si>
    <t>I&amp;C MTO design and development best practices: Estimating development and writeup of best practices applied during class 2 estimates, to lower quantities and cost of the project.</t>
  </si>
  <si>
    <t>Working on the document. Expected ETA by May 1st.
Meeting with ABB, Schneider, Emerson and Honeywell to ensure vendors can all reduce quantities at the RIO</t>
  </si>
  <si>
    <t>Prepare a new onboard presentation to provide an overview I&amp;C takeoffs for personnel.</t>
  </si>
  <si>
    <t>Existing presentaiton to be used as an starting point. To be started after best practices initiative is complete.</t>
  </si>
  <si>
    <t>I&amp;C Indicative Tool</t>
  </si>
  <si>
    <t>Item broken out in separate activities covered in items 17, 57, 67.</t>
  </si>
  <si>
    <t>I&amp;C Indicative Procedure</t>
  </si>
  <si>
    <t xml:space="preserve">Indicative procedure is about 80% done for I&amp;C. </t>
  </si>
  <si>
    <t>BB Toolset Symbols</t>
  </si>
  <si>
    <t>ADAPT - Bluebeam Tools</t>
  </si>
  <si>
    <t>Validation of BB metadata for all instrument symbols to align with latest updates in I&amp;C instruments' assemblies.
All instrument symbols recreated.</t>
  </si>
  <si>
    <t>Validation of BB metadata for all TELECOM symbols to align with latest updates in Network/Telecom/Security assemblies.</t>
  </si>
  <si>
    <t xml:space="preserve">Creation of Telecom Symbols in CAD </t>
  </si>
  <si>
    <t>Complete</t>
  </si>
  <si>
    <t>CAD Toolset Symbols</t>
  </si>
  <si>
    <t>AutoCAD</t>
  </si>
  <si>
    <t>Validation of CAD metadata for all TELECOM symbols to align with latest updates in Network/Telecom/Security assemblies.</t>
  </si>
  <si>
    <t>Master Sheets - P.Query</t>
  </si>
  <si>
    <t>Software Improvement
IO 101029801</t>
  </si>
  <si>
    <t>Working with Aden to transfer calculation, formatting macros and output reports from the E&amp;I Excel Master Sheets to Power Query</t>
  </si>
  <si>
    <t>[6/16] Prepared data set from TX Lng estimate to test tool. Aden is running his test. waiting on results. 
[5/6] had multiple meetings with Syed/Aden to align take-offs data fields and defining INPUT data.
[4/28] Syed to update Excel logic sheet sent by Aden to identify data sources for W&amp;B and HD reports.  Meeting to be scheduled to follow up on 4/30</t>
  </si>
  <si>
    <t>Moved - KOE Standard</t>
  </si>
  <si>
    <t>Benchmark / Labor</t>
  </si>
  <si>
    <t>Work Flow</t>
  </si>
  <si>
    <t>Electrical Department - Employee ultization Tool for Leads and Department Management to better manage tasks and balance in the department - Visual tool easy to update and use.</t>
  </si>
  <si>
    <t>E&amp;I Initiative Game Plan for Takeoff Assignment &amp; Schedule</t>
  </si>
  <si>
    <t xml:space="preserve"> E&amp;I game plan folder is created , this document gives guidelines for preparing an estimate.</t>
  </si>
  <si>
    <t>Installation Details</t>
  </si>
  <si>
    <t>Working with Swagelok reviewing 1E/KOE assemblies/Installation details to find opportunities for improvement and to obtain Swagelok Part Numbers that can help us obtain Periodically prices updates to simplify Estimate Bulk pricing</t>
  </si>
  <si>
    <t>Assemblies/Installations details sent, waiting on Swagelok updates.</t>
  </si>
  <si>
    <t>Working with KOE/KIE to define Standard Symbols to be used for Telecommunication Equipment Location Layouts</t>
  </si>
  <si>
    <t>Predictive Pricing (KSN archived purchases + AI )</t>
  </si>
  <si>
    <t xml:space="preserve">after ADAPT 2.0 completion, coordinate predictive pricing to be generated on QCS Sheets as a comparable to vendor prices. </t>
  </si>
  <si>
    <t>Working with KOE/Process Safety to define Standard Symbols to be used for Fire &amp; Gas Device Location Layouts</t>
  </si>
  <si>
    <t>Working with KOE/Instrumentation to define Standard Index Template with common functions that support engineering deliverable needs and Estimating needs</t>
  </si>
  <si>
    <t>Update Instrument Index Manual to align with changes in logic implemented in Adapt</t>
  </si>
  <si>
    <t>Update Network Take-off  Manual to align with changes in logic implemented in Adapt</t>
  </si>
  <si>
    <t>Update Security Take-off  Manual to align with changes in logic implemented in Adapt</t>
  </si>
  <si>
    <t>Update Telecom Take-off  Manual to align with changes in logic implemented in Adapt</t>
  </si>
  <si>
    <t>Review of I&amp;C Assemblies, alignment with KOE Installation details, development of assemblies sketches, update of account codes, material quantities, material ratios, Adapt calculations, etc.</t>
  </si>
  <si>
    <t>Update of Adapt logic to integrate new assemblies, new functions, and material optimizations alignning with New Index Template.</t>
  </si>
  <si>
    <t>Update of instruments profiles to cover updates in assemblies, logic and new index.</t>
  </si>
  <si>
    <t>Update of Instrument Symbols in BB tool to align with New Index and assemblies updates</t>
  </si>
  <si>
    <t>Moved - Department SharePoint</t>
  </si>
  <si>
    <t>Reorganization of I&amp;C initiatives documents into new SharePoint folders</t>
  </si>
  <si>
    <t>Review, align, update Adapt Material Catalog accordingly with the changes incorporated in Assemblies</t>
  </si>
  <si>
    <t>Witing on Adapt team to generate latest conformed material list.
Meeting with ADAPT team done 05/06/26.</t>
  </si>
  <si>
    <t>Testing of Power Query tool to generate HD upload report / W&amp;B sheet</t>
  </si>
  <si>
    <t>to start after Power Query tool is completed.</t>
  </si>
  <si>
    <t>Vendor Visit Presenation - TMEIC</t>
  </si>
  <si>
    <t>Preliminary Review is done, incorporated all comments and present a final version review posponed till Ali is back from Timeoff</t>
  </si>
  <si>
    <t>Create wire diagrams for all MEL, vendor, electrical systems in OGC work - 
automate the list so only cable length has to be be updated in the schedule - 
this will standardize all wiring across all OGC 
work and should be able to be given to the ADAPT Team for intergration into the ADAPT program</t>
  </si>
  <si>
    <t>Update the estimate schedule by adding estimate procedures to properly account for the hours required for E&amp;I</t>
  </si>
  <si>
    <t>We are developing this schedule using homer city as it progress.electrical and Instrumentation will coodinate for full implementation</t>
  </si>
  <si>
    <t>Email "Electrical Take-Off - Grounding" sent 4/22 to department
Next Meeting 5/7/2026</t>
  </si>
  <si>
    <t>Quantity Summary Sheet</t>
  </si>
  <si>
    <t>Update E&amp;I Quantity summary sheet to newest version, implementing changes discussed with management</t>
  </si>
  <si>
    <t>Preparation of CAD drawings for I&amp;C cable and tubing supports to be submitted in KEGI toolbox</t>
  </si>
  <si>
    <t>Update Cable List to Support Homer City Gas Yard</t>
  </si>
  <si>
    <t>07/06/2026 -  Started Process to better automate our cable list. Inclusion of cable length, segregation status, voltage.</t>
  </si>
  <si>
    <t>E&amp;I Department Action Item Tracker</t>
  </si>
  <si>
    <t>Current action-item list data tracker.</t>
  </si>
  <si>
    <t>Total Tasks</t>
  </si>
  <si>
    <t>Current Weighted Scope</t>
  </si>
  <si>
    <t>Current Weighted Earned</t>
  </si>
  <si>
    <t>Current Weighted Progress</t>
  </si>
  <si>
    <t>Current Quarter Focus</t>
  </si>
  <si>
    <t>Current Quarter Weighted Scope</t>
  </si>
  <si>
    <t>Current Quarter Weighted Earned</t>
  </si>
  <si>
    <t>Overdue Open Items</t>
  </si>
  <si>
    <t>Blocked Items</t>
  </si>
  <si>
    <t>Closed Items</t>
  </si>
  <si>
    <t>Current Quarter</t>
  </si>
  <si>
    <t>Current Quarter Weighted %</t>
  </si>
  <si>
    <t>Current Quarter Task Count</t>
  </si>
  <si>
    <t>Weekly Trend</t>
  </si>
  <si>
    <t>Weight Definition</t>
  </si>
  <si>
    <t>Actual Cum %</t>
  </si>
  <si>
    <t>Actual Earned</t>
  </si>
  <si>
    <t>Weekly Actual Earned</t>
  </si>
  <si>
    <t>Weight</t>
  </si>
  <si>
    <t>Tasks</t>
  </si>
  <si>
    <t>Completed Tasks</t>
  </si>
  <si>
    <t>% Complete</t>
  </si>
  <si>
    <t>WEEKLY NARRATIVE</t>
  </si>
  <si>
    <t>Categories</t>
  </si>
  <si>
    <t>This Week Progress:</t>
  </si>
  <si>
    <t>Task Count</t>
  </si>
  <si>
    <t>Weighted Scope</t>
  </si>
  <si>
    <t>% Overall of Categories</t>
  </si>
  <si>
    <t>- Significant progress achieved in Energy Standardization and Grounding initiatives.</t>
  </si>
  <si>
    <t>- Weighted earned increased due to multiple In Review items approaching completion.</t>
  </si>
  <si>
    <t> </t>
  </si>
  <si>
    <t>Key Drivers:</t>
  </si>
  <si>
    <t>- Electrical Grounding and Energy procedures advancing steadily.</t>
  </si>
  <si>
    <t>- Multiple initiatives transitioned from Started → In Review → nearing closure.</t>
  </si>
  <si>
    <t>Risks / Blockers:</t>
  </si>
  <si>
    <t>- Large volume of Consistency Workshop ADAPT-related items remain on HOLD.</t>
  </si>
  <si>
    <t>- These blocked tasks represent a large portion of remaining weighted scope.</t>
  </si>
  <si>
    <t>Focus Next Week:</t>
  </si>
  <si>
    <t>- Unblock ADAPT-related workstreams.</t>
  </si>
  <si>
    <t>- Push high-weight Q2 items to Closed to finish the quarter strong.</t>
  </si>
  <si>
    <t>Due Quarter Summary (Current Snapshot)</t>
  </si>
  <si>
    <t>Quarter</t>
  </si>
  <si>
    <t>Weighted %</t>
  </si>
  <si>
    <t>Q1</t>
  </si>
  <si>
    <t>Q4</t>
  </si>
  <si>
    <t>No Date</t>
  </si>
  <si>
    <t>Other</t>
  </si>
  <si>
    <t>Assigned Person Summary (Current)</t>
  </si>
  <si>
    <t>Weighted Remaining</t>
  </si>
  <si>
    <t>Current Assignment</t>
  </si>
  <si>
    <t>Homer City Electrical Lead</t>
  </si>
  <si>
    <t>Border Wall + Energy Standards</t>
  </si>
  <si>
    <t>Back to KOE</t>
  </si>
  <si>
    <t>Homer City I&amp;C Lead</t>
  </si>
  <si>
    <t>Texas LNG Electrical Lead</t>
  </si>
  <si>
    <t>Texas LNG Support</t>
  </si>
  <si>
    <t>Sempra + Rock County + Energy Standardization</t>
  </si>
  <si>
    <t>Border Wall Site</t>
  </si>
  <si>
    <t>Sempra Electrical Lead</t>
  </si>
  <si>
    <t>Sempra I&amp;C Lead</t>
  </si>
  <si>
    <t>Texas LNG I&amp;C Lead</t>
  </si>
  <si>
    <t>Aden Maigag</t>
  </si>
  <si>
    <t>Power Query Support</t>
  </si>
  <si>
    <t>Consistency Workshop + Energy Standardization</t>
  </si>
  <si>
    <t>Saidee Porras</t>
  </si>
  <si>
    <t>Texas LNG Main Support</t>
  </si>
  <si>
    <t>Total</t>
  </si>
  <si>
    <t>Note:</t>
  </si>
  <si>
    <t>Above should match Current Weighted Scope</t>
  </si>
  <si>
    <t>Week of 6/15-6/19</t>
  </si>
  <si>
    <t>Week of 6/22-6/26</t>
  </si>
  <si>
    <t>Week of 6/29-7/03</t>
  </si>
  <si>
    <t>% Inc per Week</t>
  </si>
  <si>
    <t>Texas LNG Support, Wire and Cable</t>
  </si>
  <si>
    <t>Export Total Hrs</t>
  </si>
  <si>
    <t>Project Work Hrs</t>
  </si>
  <si>
    <t>Initiative/Training Hrs</t>
  </si>
  <si>
    <t>Leave/Holiday Hrs</t>
  </si>
  <si>
    <t>Top Project / Assignment Hours</t>
  </si>
  <si>
    <t>Support Note</t>
  </si>
  <si>
    <t>Fuel Gas Yard: 24h</t>
  </si>
  <si>
    <t>Predominantly project work</t>
  </si>
  <si>
    <t>No project work found in export</t>
  </si>
  <si>
    <t>No export hours found</t>
  </si>
  <si>
    <t>Fuel Gas Yard: 8h</t>
  </si>
  <si>
    <t>Fuel Gas Yard: 16h</t>
  </si>
  <si>
    <t>No project hours found</t>
  </si>
  <si>
    <t>Fuel Gas Yard: 14h; Sempra Next Gen LNG Study: 8h; Unspecified: 2h</t>
  </si>
  <si>
    <t>Initiative/training hours present</t>
  </si>
  <si>
    <t>Sempra Next Gen LNG Study: 12h; Unspecified: 10h</t>
  </si>
  <si>
    <t>Unspecified: 18h</t>
  </si>
  <si>
    <t>Texas LNG - EPC: 20h</t>
  </si>
  <si>
    <t>Rollup</t>
  </si>
  <si>
    <t>People in Assigned Person Summary</t>
  </si>
  <si>
    <t>People found in export</t>
  </si>
  <si>
    <t>Total export hours for assigned people</t>
  </si>
  <si>
    <t>Project work hours for assigned people</t>
  </si>
  <si>
    <t>Initiative/training/dept support hours</t>
  </si>
  <si>
    <t>Leave/holiday hours</t>
  </si>
  <si>
    <t>Snapshot File</t>
  </si>
  <si>
    <t>Total Weighted Scope</t>
  </si>
  <si>
    <t>Actual Cumulative %</t>
  </si>
  <si>
    <t>Actual Cumulative Earned</t>
  </si>
  <si>
    <t>Planned Cum %</t>
  </si>
  <si>
    <t>Planned Cum Earned</t>
  </si>
  <si>
    <t>Weekly Planned Earned</t>
  </si>
  <si>
    <t>Variance %</t>
  </si>
  <si>
    <t>RAG</t>
  </si>
  <si>
    <t>E&amp;I Initiative Action Item List_05-15-2026.xlsx</t>
  </si>
  <si>
    <t>Historical actuals loaded from archived EOW file</t>
  </si>
  <si>
    <t>E&amp;I Initiative Action Item List_05-22-2026.xlsx</t>
  </si>
  <si>
    <t>E&amp;I Initiative Action Item List_05-29-2026.xlsx</t>
  </si>
  <si>
    <t>E&amp;I Initiative Action Item List_06-05-2026.xlsx</t>
  </si>
  <si>
    <t>E&amp;I Initiative Action Item List_06-12-2026.xlsx</t>
  </si>
  <si>
    <t>Manual</t>
  </si>
  <si>
    <t>Enter actual and planned cumulative %</t>
  </si>
  <si>
    <t>Enter actual and planned cumulative %
Holiday Week</t>
  </si>
  <si>
    <t>Lookup Lists</t>
  </si>
  <si>
    <t>Use these helper lists for drop-downs.</t>
  </si>
  <si>
    <t>N/A</t>
  </si>
  <si>
    <t>Reviewed</t>
  </si>
  <si>
    <t>Moved - Energy Toolbox</t>
  </si>
  <si>
    <t>Moved - KED Standard</t>
  </si>
  <si>
    <t>Module Standards</t>
  </si>
  <si>
    <t>Cable - Ethernet</t>
  </si>
  <si>
    <t>Calculator</t>
  </si>
  <si>
    <t>Cable - Fiber</t>
  </si>
  <si>
    <t>Diagram</t>
  </si>
  <si>
    <t>Cable - I&amp;C Control</t>
  </si>
  <si>
    <t>Hard Dollar / InEight Estimate</t>
  </si>
  <si>
    <t>Cable - LV 120V</t>
  </si>
  <si>
    <t>Hard Dollar / InEight Estimate - Upload Sheet</t>
  </si>
  <si>
    <t>Cable - LV 480V</t>
  </si>
  <si>
    <t>OGC DOR</t>
  </si>
  <si>
    <t>Cable - LV Control (Power)</t>
  </si>
  <si>
    <t>OGC E&amp;I Estimating Home Page</t>
  </si>
  <si>
    <t>Cable - MV</t>
  </si>
  <si>
    <t>Procurement - TBE</t>
  </si>
  <si>
    <t>Review Book - Blue &amp; White Sheet</t>
  </si>
  <si>
    <t>Review Book - Cable by Systems</t>
  </si>
  <si>
    <t>Review Book - E&amp;I Summary</t>
  </si>
  <si>
    <t>Review Book - Metrics and Ratios</t>
  </si>
  <si>
    <t>Review Cycle</t>
  </si>
  <si>
    <t>S3D</t>
  </si>
  <si>
    <t>Talent Navigator</t>
  </si>
  <si>
    <t>TeamBinder / InEight Document</t>
  </si>
  <si>
    <t>Validation</t>
  </si>
  <si>
    <t>Original Reference Sheet (copied from current tracker)</t>
  </si>
  <si>
    <t>How to Update This Workbook</t>
  </si>
  <si>
    <t>This sheet explains weekly update steps.</t>
  </si>
  <si>
    <t>1. Analytics weekly update</t>
  </si>
  <si>
    <t>Update Status in column I, Manual Progress % in column N as needed, then optionally set Last Updated (T) and Week Ending (U). Do not overwrite formulas in M, O, P, Q, R, or V.</t>
  </si>
  <si>
    <t>3. Backfill or future weeks</t>
  </si>
  <si>
    <t>In Weekly Tracking, enter Planned Cumulatative % in column F for any future week. For future weeks, enter Actual Cumulative % in column D once the week closes.</t>
  </si>
  <si>
    <t>4. Drop-downs</t>
  </si>
  <si>
    <t>The Lookup sheet now includes helper lists and the original Reference sheet so Initiative, Discipline, Category, Deliverable, Assigned To, Reviewer, Status, and Priority fields can all use drop-downs.</t>
  </si>
  <si>
    <t>5. Quarter tracking</t>
  </si>
  <si>
    <t>Due Quarter Bucket is calculated in Analytics column V and is used by the dashboard to show how much weighted scope is due in Q1/Q2/Q3/Q4 and how much has been earned.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</si>
</sst>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theme="1"/>
      <name val="Calibri"/>
      <family val="2"/>
      <scheme val="minor"/>
    </font>
    <font>
      <sz val="11"/>
      <color theme="1"/>
      <name val="Calibri"/>
      <family val="2"/>
      <scheme val="minor"/>
    </font>
    <font>
      <b/>
      <sz val="16"/>
      <name val="Calibri"/>
      <family val="2"/>
    </font>
    <font>
      <i/>
      <sz val="11"/>
      <name val="Calibri"/>
      <family val="2"/>
    </font>
    <font>
      <b/>
      <sz val="11"/>
      <color rgb="FFFFFFFF"/>
      <name val="Calibri"/>
      <family val="2"/>
    </font>
    <font>
      <b/>
      <sz val="14"/>
      <name val="Calibri"/>
      <family val="2"/>
    </font>
    <font>
      <b/>
      <sz val="18"/>
      <name val="Calibri"/>
      <family val="2"/>
    </font>
    <font>
      <b/>
      <sz val="11"/>
      <name val="Calibri"/>
      <family val="2"/>
    </font>
    <font>
      <sz val="11"/>
      <color rgb="FF242424"/>
      <name val="Consolas"/>
      <family val="3"/>
    </font>
    <font>
      <b/>
      <sz val="12"/>
      <name val="Calibri"/>
      <family val="2"/>
    </font>
    <font>
      <sz val="11"/>
      <color rgb="FF000000"/>
      <name val="Calibri"/>
      <family val="2"/>
    </font>
    <font>
      <sz val="11"/>
      <color theme="1"/>
      <name val="Calibri"/>
      <family val="2"/>
      <scheme val="minor"/>
    </font>
    <font>
      <sz val="11"/>
      <color rgb="FF000000"/>
      <name val="Calibri"/>
      <family val="2"/>
      <scheme val="minor"/>
    </font>
    <font>
      <b/>
      <sz val="11"/>
      <color rgb="FFFF0000"/>
      <name val="Calibri"/>
      <family val="2"/>
      <scheme val="minor"/>
    </font>
    <font>
      <b/>
      <sz val="11"/>
      <color rgb="FFFFFFFF"/>
      <name val="Calibri"/>
      <family val="2"/>
      <scheme val="minor"/>
    </font>
    <font>
      <sz val="11"/>
      <color rgb="FFFF0000"/>
      <name val="Calibri"/>
      <family val="2"/>
      <scheme val="minor"/>
    </font>
    <font>
      <b/>
      <sz val="11"/>
      <color theme="1"/>
      <name val="Calibri"/>
      <family val="2"/>
      <scheme val="minor"/>
    </font>
    <font>
      <b/>
      <sz val="11"/>
      <color rgb="FF000000"/>
      <name val="Calibri"/>
      <family val="2"/>
      <scheme val="minor"/>
    </font>
  </fonts>
  <fills count="10">
    <fill>
      <patternFill patternType="none"/>
    </fill>
    <fill>
      <patternFill patternType="gray125"/>
    </fill>
    <fill>
      <patternFill patternType="solid">
        <fgColor rgb="FF1F4E78"/>
      </patternFill>
    </fill>
    <fill>
      <patternFill patternType="solid">
        <fgColor rgb="FFD9EAF7"/>
      </patternFill>
    </fill>
    <fill>
      <patternFill patternType="solid">
        <fgColor rgb="FFFFF2CC"/>
      </patternFill>
    </fill>
    <fill>
      <patternFill patternType="solid">
        <fgColor rgb="FFD9EAD3"/>
      </patternFill>
    </fill>
    <fill>
      <patternFill patternType="solid">
        <fgColor rgb="FFF3F6F9"/>
      </patternFill>
    </fill>
    <fill>
      <patternFill patternType="solid">
        <fgColor rgb="FFD9EAF7"/>
        <bgColor rgb="FF000000"/>
      </patternFill>
    </fill>
    <fill>
      <patternFill patternType="solid">
        <fgColor rgb="FF1F4E78"/>
        <bgColor rgb="FF000000"/>
      </patternFill>
    </fill>
    <fill>
      <patternFill patternType="solid">
        <fgColor theme="6" tint="0.79998168889431442"/>
        <bgColor theme="6" tint="0.79998168889431442"/>
      </patternFill>
    </fill>
  </fills>
  <borders count="35">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style="thin">
        <color rgb="FFD9D9D9"/>
      </right>
      <top style="thin">
        <color rgb="FFD9D9D9"/>
      </top>
      <bottom style="thin">
        <color rgb="FFD9D9D9"/>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style="thin">
        <color rgb="FFD9D9D9"/>
      </left>
      <right style="thin">
        <color rgb="FFD9D9D9"/>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s>
  <cellStyleXfs count="2">
    <xf numFmtId="0" fontId="0" fillId="0" borderId="0"/>
    <xf numFmtId="9" fontId="11" fillId="0" borderId="0" applyFont="0" applyFill="0" applyBorder="0" applyAlignment="0" applyProtection="0"/>
  </cellStyleXfs>
  <cellXfs count="98">
    <xf numFmtId="0" fontId="0" fillId="0" borderId="0" xfId="0"/>
    <xf numFmtId="0" fontId="6" fillId="0" borderId="0" xfId="0" applyFont="1"/>
    <xf numFmtId="0" fontId="3" fillId="0" borderId="0" xfId="0" applyFont="1"/>
    <xf numFmtId="0" fontId="4" fillId="2" borderId="1" xfId="0" applyFont="1" applyFill="1" applyBorder="1" applyAlignment="1">
      <alignment horizontal="center" vertical="center"/>
    </xf>
    <xf numFmtId="0" fontId="7" fillId="3" borderId="0" xfId="0" applyFont="1" applyFill="1"/>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0" borderId="1" xfId="0" applyBorder="1"/>
    <xf numFmtId="164" fontId="0" fillId="0" borderId="1" xfId="0" applyNumberFormat="1" applyBorder="1"/>
    <xf numFmtId="0" fontId="7" fillId="0" borderId="1" xfId="0" applyFont="1" applyBorder="1"/>
    <xf numFmtId="14" fontId="0" fillId="0" borderId="1" xfId="0" applyNumberFormat="1" applyBorder="1" applyAlignment="1">
      <alignment horizontal="center" vertical="center"/>
    </xf>
    <xf numFmtId="164" fontId="0" fillId="4" borderId="1" xfId="0" applyNumberFormat="1" applyFill="1" applyBorder="1" applyAlignment="1">
      <alignment horizontal="center" vertical="center"/>
    </xf>
    <xf numFmtId="0" fontId="0" fillId="5" borderId="1" xfId="0" applyFill="1" applyBorder="1" applyAlignment="1">
      <alignment horizontal="left" vertical="top"/>
    </xf>
    <xf numFmtId="0" fontId="0" fillId="0" borderId="1" xfId="0" applyBorder="1" applyAlignment="1">
      <alignment horizontal="left" vertical="top"/>
    </xf>
    <xf numFmtId="0" fontId="0" fillId="0" borderId="1" xfId="0" applyBorder="1" applyAlignment="1">
      <alignment vertical="top" wrapText="1"/>
    </xf>
    <xf numFmtId="9" fontId="0" fillId="0" borderId="1" xfId="0" applyNumberFormat="1" applyBorder="1" applyAlignment="1">
      <alignment horizontal="center" vertical="center"/>
    </xf>
    <xf numFmtId="14" fontId="0" fillId="0" borderId="1" xfId="0" applyNumberFormat="1" applyBorder="1" applyAlignment="1">
      <alignment horizontal="left" vertical="top"/>
    </xf>
    <xf numFmtId="0" fontId="2" fillId="0" borderId="0" xfId="0" applyFont="1"/>
    <xf numFmtId="0" fontId="5" fillId="3" borderId="0" xfId="0" applyFont="1" applyFill="1"/>
    <xf numFmtId="0" fontId="4" fillId="2" borderId="1" xfId="0" applyFont="1" applyFill="1" applyBorder="1" applyAlignment="1">
      <alignment horizontal="left" vertical="top"/>
    </xf>
    <xf numFmtId="0" fontId="7" fillId="3" borderId="1" xfId="0" applyFont="1" applyFill="1" applyBorder="1"/>
    <xf numFmtId="0" fontId="4" fillId="2" borderId="1" xfId="0" applyFont="1" applyFill="1" applyBorder="1" applyAlignment="1">
      <alignment horizontal="center" vertical="center" wrapText="1"/>
    </xf>
    <xf numFmtId="0" fontId="0" fillId="0" borderId="0" xfId="0" applyAlignment="1">
      <alignment wrapText="1"/>
    </xf>
    <xf numFmtId="0" fontId="8" fillId="0" borderId="0" xfId="0" applyFont="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xf>
    <xf numFmtId="0" fontId="9" fillId="7" borderId="1" xfId="0" applyFont="1" applyFill="1" applyBorder="1"/>
    <xf numFmtId="0" fontId="4" fillId="2" borderId="10" xfId="0" applyFont="1" applyFill="1" applyBorder="1" applyAlignment="1">
      <alignment horizontal="center" vertical="center"/>
    </xf>
    <xf numFmtId="9" fontId="0" fillId="0" borderId="1" xfId="1" applyFont="1" applyBorder="1" applyAlignment="1">
      <alignment horizontal="center" vertical="center"/>
    </xf>
    <xf numFmtId="0" fontId="0" fillId="0" borderId="0" xfId="0" applyAlignment="1">
      <alignment horizontal="right"/>
    </xf>
    <xf numFmtId="164" fontId="0" fillId="0" borderId="1" xfId="0" applyNumberFormat="1" applyBorder="1" applyAlignment="1">
      <alignment wrapText="1"/>
    </xf>
    <xf numFmtId="0" fontId="0" fillId="0" borderId="0" xfId="0" applyAlignment="1">
      <alignment horizontal="center" vertical="center" wrapText="1"/>
    </xf>
    <xf numFmtId="0" fontId="0" fillId="0" borderId="0" xfId="0" applyAlignment="1">
      <alignment vertical="top" wrapText="1"/>
    </xf>
    <xf numFmtId="9" fontId="0" fillId="0" borderId="0" xfId="0" applyNumberFormat="1" applyAlignment="1">
      <alignment horizontal="center" vertical="center"/>
    </xf>
    <xf numFmtId="14" fontId="0" fillId="0" borderId="0" xfId="0" applyNumberFormat="1" applyAlignment="1">
      <alignment horizontal="left" vertical="top"/>
    </xf>
    <xf numFmtId="0" fontId="12" fillId="0" borderId="1" xfId="0" applyFont="1" applyBorder="1" applyAlignment="1">
      <alignment vertical="top" wrapText="1"/>
    </xf>
    <xf numFmtId="0" fontId="13" fillId="0" borderId="1" xfId="0" applyFont="1" applyBorder="1" applyAlignment="1">
      <alignment vertical="top" wrapText="1"/>
    </xf>
    <xf numFmtId="0" fontId="0" fillId="0" borderId="0" xfId="0" applyAlignment="1">
      <alignment horizontal="center"/>
    </xf>
    <xf numFmtId="0" fontId="1" fillId="0" borderId="1" xfId="0" applyFont="1" applyBorder="1" applyAlignment="1">
      <alignment vertical="top" wrapText="1"/>
    </xf>
    <xf numFmtId="9" fontId="16" fillId="0" borderId="1" xfId="1" applyFont="1" applyBorder="1" applyAlignment="1">
      <alignment horizontal="center" vertical="center"/>
    </xf>
    <xf numFmtId="0" fontId="0" fillId="0" borderId="0" xfId="0" applyAlignment="1">
      <alignment vertical="center" wrapText="1"/>
    </xf>
    <xf numFmtId="14" fontId="0" fillId="0" borderId="0" xfId="0" applyNumberFormat="1" applyAlignment="1">
      <alignment horizontal="center" vertical="center"/>
    </xf>
    <xf numFmtId="164" fontId="0" fillId="0" borderId="0" xfId="0" applyNumberFormat="1" applyAlignment="1">
      <alignment horizontal="center" vertical="center"/>
    </xf>
    <xf numFmtId="0" fontId="0" fillId="5" borderId="1" xfId="0" applyFill="1" applyBorder="1" applyAlignment="1">
      <alignment horizontal="left" vertical="top" wrapText="1"/>
    </xf>
    <xf numFmtId="0" fontId="0" fillId="0" borderId="11" xfId="0" applyBorder="1"/>
    <xf numFmtId="0" fontId="0" fillId="0" borderId="12" xfId="0" applyBorder="1"/>
    <xf numFmtId="164" fontId="0" fillId="0" borderId="13" xfId="0" applyNumberFormat="1" applyBorder="1" applyAlignment="1">
      <alignment wrapText="1"/>
    </xf>
    <xf numFmtId="0" fontId="0" fillId="0" borderId="14" xfId="0" applyBorder="1"/>
    <xf numFmtId="0" fontId="0" fillId="0" borderId="15" xfId="0" applyBorder="1"/>
    <xf numFmtId="164" fontId="0" fillId="0" borderId="16" xfId="0" applyNumberFormat="1" applyBorder="1" applyAlignment="1">
      <alignment wrapText="1"/>
    </xf>
    <xf numFmtId="164" fontId="0" fillId="0" borderId="13" xfId="0" applyNumberFormat="1" applyBorder="1"/>
    <xf numFmtId="164" fontId="0" fillId="0" borderId="16" xfId="0" applyNumberFormat="1" applyBorder="1"/>
    <xf numFmtId="0" fontId="0" fillId="0" borderId="17" xfId="0" applyBorder="1"/>
    <xf numFmtId="0" fontId="0" fillId="0" borderId="18" xfId="0" applyBorder="1"/>
    <xf numFmtId="164" fontId="0" fillId="0" borderId="21" xfId="0" applyNumberFormat="1" applyBorder="1"/>
    <xf numFmtId="164" fontId="0" fillId="0" borderId="22" xfId="0" applyNumberFormat="1" applyBorder="1"/>
    <xf numFmtId="164" fontId="0" fillId="0" borderId="19" xfId="0" applyNumberFormat="1" applyBorder="1"/>
    <xf numFmtId="164" fontId="0" fillId="0" borderId="20" xfId="0" applyNumberFormat="1" applyBorder="1"/>
    <xf numFmtId="0" fontId="2" fillId="3" borderId="23" xfId="0" applyFont="1" applyFill="1" applyBorder="1"/>
    <xf numFmtId="0" fontId="4" fillId="2" borderId="29" xfId="0" applyFont="1" applyFill="1" applyBorder="1" applyAlignment="1">
      <alignment horizontal="center" vertical="center"/>
    </xf>
    <xf numFmtId="0" fontId="4" fillId="2" borderId="30" xfId="0" applyFont="1" applyFill="1" applyBorder="1" applyAlignment="1">
      <alignment horizontal="center" vertical="center"/>
    </xf>
    <xf numFmtId="0" fontId="4" fillId="2" borderId="31" xfId="0" applyFont="1" applyFill="1" applyBorder="1" applyAlignment="1">
      <alignment horizontal="center" vertical="center"/>
    </xf>
    <xf numFmtId="0" fontId="4" fillId="2" borderId="32" xfId="0" applyFont="1" applyFill="1" applyBorder="1" applyAlignment="1">
      <alignment horizontal="center" vertical="center"/>
    </xf>
    <xf numFmtId="0" fontId="4" fillId="2" borderId="33" xfId="0" applyFont="1" applyFill="1" applyBorder="1" applyAlignment="1">
      <alignment horizontal="center" vertical="center"/>
    </xf>
    <xf numFmtId="0" fontId="6" fillId="3" borderId="28" xfId="0" applyFont="1" applyFill="1" applyBorder="1" applyAlignment="1">
      <alignment horizontal="center"/>
    </xf>
    <xf numFmtId="0" fontId="6" fillId="3" borderId="27" xfId="0" applyFont="1" applyFill="1" applyBorder="1"/>
    <xf numFmtId="0" fontId="4" fillId="2" borderId="34" xfId="0" applyFont="1" applyFill="1" applyBorder="1" applyAlignment="1">
      <alignment horizontal="center" vertical="center"/>
    </xf>
    <xf numFmtId="0" fontId="0" fillId="9" borderId="1" xfId="0" applyFill="1" applyBorder="1" applyAlignment="1">
      <alignment horizontal="center" vertical="center"/>
    </xf>
    <xf numFmtId="0" fontId="4" fillId="2" borderId="0" xfId="0" applyFont="1" applyFill="1" applyAlignment="1">
      <alignment vertical="center" wrapText="1"/>
    </xf>
    <xf numFmtId="0" fontId="7" fillId="0" borderId="0" xfId="0" applyFont="1"/>
    <xf numFmtId="0" fontId="10" fillId="0" borderId="8" xfId="0" quotePrefix="1" applyFont="1" applyBorder="1" applyAlignment="1">
      <alignment wrapText="1"/>
    </xf>
    <xf numFmtId="0" fontId="10" fillId="0" borderId="9" xfId="0" applyFont="1" applyBorder="1" applyAlignment="1">
      <alignment wrapText="1"/>
    </xf>
    <xf numFmtId="0" fontId="10" fillId="0" borderId="4" xfId="0" applyFont="1" applyBorder="1" applyAlignment="1">
      <alignment wrapText="1"/>
    </xf>
    <xf numFmtId="0" fontId="4" fillId="8" borderId="8" xfId="0" quotePrefix="1" applyFont="1" applyFill="1" applyBorder="1" applyAlignment="1">
      <alignment wrapText="1"/>
    </xf>
    <xf numFmtId="0" fontId="4" fillId="8" borderId="9" xfId="0" applyFont="1" applyFill="1" applyBorder="1" applyAlignment="1">
      <alignment wrapText="1"/>
    </xf>
    <xf numFmtId="0" fontId="4" fillId="8" borderId="4" xfId="0" applyFont="1" applyFill="1" applyBorder="1" applyAlignment="1">
      <alignment wrapText="1"/>
    </xf>
    <xf numFmtId="0" fontId="10" fillId="0" borderId="8" xfId="0" applyFont="1" applyBorder="1" applyAlignment="1">
      <alignment wrapText="1"/>
    </xf>
    <xf numFmtId="0" fontId="10" fillId="0" borderId="6" xfId="0" applyFont="1" applyBorder="1" applyAlignment="1">
      <alignment wrapText="1"/>
    </xf>
    <xf numFmtId="0" fontId="10" fillId="0" borderId="7" xfId="0" applyFont="1" applyBorder="1" applyAlignment="1">
      <alignment wrapText="1"/>
    </xf>
    <xf numFmtId="0" fontId="10" fillId="0" borderId="0" xfId="0" quotePrefix="1" applyFont="1" applyAlignment="1">
      <alignment wrapText="1"/>
    </xf>
    <xf numFmtId="0" fontId="10" fillId="0" borderId="0" xfId="0" applyFont="1" applyAlignment="1">
      <alignment wrapText="1"/>
    </xf>
    <xf numFmtId="0" fontId="7" fillId="7" borderId="0" xfId="0" applyFont="1" applyFill="1" applyAlignment="1">
      <alignment wrapText="1"/>
    </xf>
    <xf numFmtId="0" fontId="10" fillId="0" borderId="6" xfId="0" quotePrefix="1" applyFont="1" applyBorder="1" applyAlignment="1">
      <alignment wrapText="1"/>
    </xf>
    <xf numFmtId="0" fontId="4" fillId="2" borderId="1" xfId="0" applyFont="1" applyFill="1" applyBorder="1" applyAlignment="1">
      <alignment horizontal="center" vertical="center"/>
    </xf>
    <xf numFmtId="0" fontId="2" fillId="6" borderId="1" xfId="0" applyFont="1" applyFill="1" applyBorder="1" applyAlignment="1">
      <alignment horizontal="center" vertical="center"/>
    </xf>
    <xf numFmtId="164" fontId="2" fillId="6" borderId="1" xfId="0" applyNumberFormat="1" applyFont="1" applyFill="1" applyBorder="1" applyAlignment="1">
      <alignment horizontal="center" vertical="center"/>
    </xf>
    <xf numFmtId="0" fontId="0" fillId="0" borderId="0" xfId="0" applyAlignment="1">
      <alignment horizontal="center"/>
    </xf>
    <xf numFmtId="0" fontId="6" fillId="3" borderId="24" xfId="0" applyFont="1" applyFill="1" applyBorder="1" applyAlignment="1">
      <alignment horizontal="center"/>
    </xf>
    <xf numFmtId="0" fontId="6" fillId="3" borderId="25" xfId="0" applyFont="1" applyFill="1" applyBorder="1" applyAlignment="1">
      <alignment horizontal="center"/>
    </xf>
    <xf numFmtId="0" fontId="6" fillId="3" borderId="26" xfId="0" applyFont="1" applyFill="1" applyBorder="1" applyAlignment="1">
      <alignment horizontal="center"/>
    </xf>
    <xf numFmtId="0" fontId="6" fillId="3" borderId="27" xfId="0" applyFont="1" applyFill="1" applyBorder="1" applyAlignment="1">
      <alignment horizontal="center"/>
    </xf>
    <xf numFmtId="0" fontId="0" fillId="0" borderId="1" xfId="0" applyBorder="1" applyAlignment="1">
      <alignment vertical="top" wrapText="1"/>
    </xf>
    <xf numFmtId="0" fontId="0" fillId="0" borderId="4" xfId="0" applyBorder="1" applyAlignment="1"/>
    <xf numFmtId="0" fontId="0" fillId="0" borderId="2" xfId="0" applyBorder="1" applyAlignment="1"/>
    <xf numFmtId="0" fontId="0" fillId="0" borderId="3" xfId="0" applyBorder="1" applyAlignment="1"/>
    <xf numFmtId="0" fontId="0" fillId="0" borderId="5" xfId="0" applyBorder="1" applyAlignment="1"/>
    <xf numFmtId="0" fontId="0" fillId="0" borderId="6" xfId="0" applyBorder="1" applyAlignment="1"/>
    <xf numFmtId="0" fontId="0" fillId="0" borderId="7" xfId="0" applyBorder="1" applyAlignment="1"/>
  </cellXfs>
  <cellStyles count="2">
    <cellStyle name="Normal" xfId="0" builtinId="0"/>
    <cellStyle name="Percent" xfId="1" builtinId="5"/>
  </cellStyles>
  <dxfs count="18">
    <dxf>
      <alignment textRotation="0" wrapText="1" indent="0" justifyLastLine="0" shrinkToFit="0" readingOrder="0"/>
    </dxf>
    <dxf>
      <fill>
        <patternFill patternType="solid">
          <fgColor rgb="FFD9EAD3"/>
        </patternFill>
      </fill>
    </dxf>
    <dxf>
      <fill>
        <patternFill patternType="solid">
          <fgColor rgb="FFFFF2CC"/>
        </patternFill>
      </fill>
    </dxf>
    <dxf>
      <fill>
        <patternFill patternType="solid">
          <fgColor rgb="FFF4CCCC"/>
        </patternFill>
      </fill>
    </dxf>
    <dxf>
      <numFmt numFmtId="0" formatCode="General"/>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textRotation="0" wrapText="1" indent="0" justifyLastLine="0" shrinkToFit="0" readingOrder="0"/>
    </dxf>
    <dxf>
      <fill>
        <patternFill patternType="solid">
          <fgColor rgb="FFF4CCCC"/>
        </patternFill>
      </fill>
    </dxf>
    <dxf>
      <fill>
        <patternFill patternType="solid">
          <fgColor rgb="FFD9EAD3"/>
        </patternFill>
      </fill>
    </dxf>
    <dxf>
      <fill>
        <patternFill patternType="solid">
          <fgColor rgb="FFF4CCCC"/>
        </patternFill>
      </fill>
    </dxf>
    <dxf>
      <fill>
        <patternFill patternType="solid">
          <fgColor rgb="FFFCE5CD"/>
        </patternFill>
      </fill>
    </dxf>
    <dxf>
      <fill>
        <patternFill patternType="solid">
          <f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sz="2000"/>
              <a:t>Weekly Progress</a:t>
            </a:r>
          </a:p>
        </c:rich>
      </c:tx>
      <c:layout>
        <c:manualLayout>
          <c:xMode val="edge"/>
          <c:yMode val="edge"/>
          <c:x val="0.42378020086816165"/>
          <c:y val="1.8097241884652848E-2"/>
        </c:manualLayout>
      </c:layout>
      <c:overlay val="1"/>
    </c:title>
    <c:autoTitleDeleted val="0"/>
    <c:plotArea>
      <c:layout>
        <c:manualLayout>
          <c:layoutTarget val="inner"/>
          <c:xMode val="edge"/>
          <c:yMode val="edge"/>
          <c:x val="0.10297340377500196"/>
          <c:y val="2.872798118291461E-2"/>
          <c:w val="0.77634596848261261"/>
          <c:h val="0.83664097688408545"/>
        </c:manualLayout>
      </c:layout>
      <c:lineChart>
        <c:grouping val="standard"/>
        <c:varyColors val="1"/>
        <c:ser>
          <c:idx val="0"/>
          <c:order val="0"/>
          <c:tx>
            <c:strRef>
              <c:f>'Executive Dashboard'!$B$14</c:f>
              <c:strCache>
                <c:ptCount val="1"/>
                <c:pt idx="0">
                  <c:v>Actual Cum %</c:v>
                </c:pt>
              </c:strCache>
            </c:strRef>
          </c:tx>
          <c:spPr>
            <a:ln>
              <a:prstDash val="solid"/>
            </a:ln>
          </c:spPr>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'Executive Dashboard'!$A$15:$A$27</c:f>
              <c:numCache>
                <c:formatCode>m/d/yyyy</c:formatCode>
                <c:ptCount val="13"/>
                <c:pt idx="0">
                  <c:v>46157</c:v>
                </c:pt>
                <c:pt idx="1">
                  <c:v>46164</c:v>
                </c:pt>
                <c:pt idx="2">
                  <c:v>46171</c:v>
                </c:pt>
                <c:pt idx="3">
                  <c:v>46178</c:v>
                </c:pt>
                <c:pt idx="4">
                  <c:v>46185</c:v>
                </c:pt>
                <c:pt idx="5">
                  <c:v>46192</c:v>
                </c:pt>
                <c:pt idx="6">
                  <c:v>46199</c:v>
                </c:pt>
                <c:pt idx="7">
                  <c:v>46206</c:v>
                </c:pt>
                <c:pt idx="8">
                  <c:v>46213</c:v>
                </c:pt>
                <c:pt idx="9">
                  <c:v>46220</c:v>
                </c:pt>
                <c:pt idx="10">
                  <c:v>46227</c:v>
                </c:pt>
                <c:pt idx="11">
                  <c:v>46234</c:v>
                </c:pt>
              </c:numCache>
            </c:numRef>
          </c:cat>
          <c:val>
            <c:numRef>
              <c:f>'Executive Dashboard'!$B$15:$B$27</c:f>
              <c:numCache>
                <c:formatCode>0.0%</c:formatCode>
                <c:ptCount val="13"/>
                <c:pt idx="0">
                  <c:v>0.16460905349794239</c:v>
                </c:pt>
                <c:pt idx="1">
                  <c:v>0.17695473251028807</c:v>
                </c:pt>
                <c:pt idx="2">
                  <c:v>0.17695473251028807</c:v>
                </c:pt>
                <c:pt idx="3">
                  <c:v>0.17695473251028807</c:v>
                </c:pt>
                <c:pt idx="4">
                  <c:v>0.18775510204081633</c:v>
                </c:pt>
                <c:pt idx="5">
                  <c:v>0.29770491803278698</c:v>
                </c:pt>
                <c:pt idx="6">
                  <c:v>0.43836065573770489</c:v>
                </c:pt>
                <c:pt idx="7">
                  <c:v>0.43999999999999995</c:v>
                </c:pt>
                <c:pt idx="8">
                  <c:v>0.44344262295081965</c:v>
                </c:pt>
                <c:pt idx="9">
                  <c:v>0.44344262295081965</c:v>
                </c:pt>
                <c:pt idx="10">
                  <c:v>0.44344262295081965</c:v>
                </c:pt>
                <c:pt idx="11">
                  <c:v>0.44344262295081965</c:v>
                </c:pt>
              </c:numCache>
            </c:numRef>
          </c:val>
          <c:smooth val="1"/>
          <c:extLst>
            <c:ext xmlns:c16="http://schemas.microsoft.com/office/drawing/2014/chart" uri="{C3380CC4-5D6E-409C-BE32-E72D297353CC}">
              <c16:uniqueId val="{00000000-5538-4C38-9DA2-B8D426825EEC}"/>
            </c:ext>
          </c:extLst>
        </c:ser>
        <c:dLbls>
          <c:dLblPos val="t"/>
          <c:showLegendKey val="0"/>
          <c:showVal val="1"/>
          <c:showCatName val="0"/>
          <c:showSerName val="0"/>
          <c:showPercent val="0"/>
          <c:showBubbleSize val="0"/>
        </c:dLbls>
        <c:smooth val="0"/>
        <c:axId val="10"/>
        <c:axId val="100"/>
      </c:lineChart>
      <c:dateAx>
        <c:axId val="10"/>
        <c:scaling>
          <c:orientation val="minMax"/>
        </c:scaling>
        <c:delete val="0"/>
        <c:axPos val="b"/>
        <c:title>
          <c:tx>
            <c:rich>
              <a:bodyPr/>
              <a:lstStyle/>
              <a:p>
                <a:pPr>
                  <a:defRPr/>
                </a:pPr>
                <a:r>
                  <a:rPr lang="en-US"/>
                  <a:t>Week Ending</a:t>
                </a:r>
              </a:p>
            </c:rich>
          </c:tx>
          <c:overlay val="1"/>
        </c:title>
        <c:numFmt formatCode="m/d/yyyy" sourceLinked="1"/>
        <c:majorTickMark val="out"/>
        <c:minorTickMark val="none"/>
        <c:tickLblPos val="nextTo"/>
        <c:crossAx val="100"/>
        <c:crosses val="autoZero"/>
        <c:auto val="1"/>
        <c:lblOffset val="100"/>
        <c:baseTimeUnit val="days"/>
      </c:dateAx>
      <c:valAx>
        <c:axId val="100"/>
        <c:scaling>
          <c:orientation val="minMax"/>
        </c:scaling>
        <c:delete val="0"/>
        <c:axPos val="l"/>
        <c:majorGridlines/>
        <c:title>
          <c:tx>
            <c:rich>
              <a:bodyPr/>
              <a:lstStyle/>
              <a:p>
                <a:pPr>
                  <a:defRPr/>
                </a:pPr>
                <a:r>
                  <a:rPr lang="en-US" sz="1800"/>
                  <a:t>% Complete</a:t>
                </a:r>
              </a:p>
            </c:rich>
          </c:tx>
          <c:layout>
            <c:manualLayout>
              <c:xMode val="edge"/>
              <c:yMode val="edge"/>
              <c:x val="6.0292573458617783E-4"/>
              <c:y val="0.32889722724938603"/>
            </c:manualLayout>
          </c:layout>
          <c:overlay val="1"/>
        </c:title>
        <c:numFmt formatCode="0%" sourceLinked="0"/>
        <c:majorTickMark val="out"/>
        <c:minorTickMark val="none"/>
        <c:tickLblPos val="nextTo"/>
        <c:crossAx val="10"/>
        <c:crosses val="autoZero"/>
        <c:crossBetween val="between"/>
      </c:valAx>
    </c:plotArea>
    <c:legend>
      <c:legendPos val="r"/>
      <c:layout>
        <c:manualLayout>
          <c:xMode val="edge"/>
          <c:yMode val="edge"/>
          <c:x val="0.87671421784275638"/>
          <c:y val="0.36749590828401796"/>
          <c:w val="0.12328578215724362"/>
          <c:h val="0.26500818343196403"/>
        </c:manualLayout>
      </c:layout>
      <c:overlay val="0"/>
      <c:txPr>
        <a:bodyPr/>
        <a:lstStyle/>
        <a:p>
          <a:pPr rtl="0">
            <a:defRPr/>
          </a:pPr>
          <a:endParaRPr lang="en-US"/>
        </a:p>
      </c:txPr>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Percent</a:t>
            </a:r>
            <a:r>
              <a:rPr lang="en-US" baseline="0"/>
              <a:t> Weighted Earned </a:t>
            </a:r>
            <a:r>
              <a:rPr lang="en-US"/>
              <a:t>by Assigned Person</a:t>
            </a:r>
          </a:p>
        </c:rich>
      </c:tx>
      <c:layout>
        <c:manualLayout>
          <c:xMode val="edge"/>
          <c:yMode val="edge"/>
          <c:x val="0.30895438560263044"/>
          <c:y val="6.9892088727407445E-3"/>
        </c:manualLayout>
      </c:layout>
      <c:overlay val="1"/>
    </c:title>
    <c:autoTitleDeleted val="0"/>
    <c:plotArea>
      <c:layout/>
      <c:barChart>
        <c:barDir val="bar"/>
        <c:grouping val="clustered"/>
        <c:varyColors val="1"/>
        <c:ser>
          <c:idx val="0"/>
          <c:order val="0"/>
          <c:tx>
            <c:strRef>
              <c:f>'Executive Dashboard'!$I$59</c:f>
              <c:strCache>
                <c:ptCount val="1"/>
                <c:pt idx="0">
                  <c:v>Weighted Earned</c:v>
                </c:pt>
              </c:strCache>
            </c:strRef>
          </c:tx>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'Executive Dashboard'!$H$60:$H$84</c:f>
              <c:strCache>
                <c:ptCount val="25"/>
                <c:pt idx="0">
                  <c:v>Ahmad Yakuba</c:v>
                </c:pt>
                <c:pt idx="1">
                  <c:v>Allen Douglas</c:v>
                </c:pt>
                <c:pt idx="2">
                  <c:v>John McGoldrick</c:v>
                </c:pt>
                <c:pt idx="3">
                  <c:v>Ahmed Sherif</c:v>
                </c:pt>
                <c:pt idx="4">
                  <c:v>Keshika Nath Varma</c:v>
                </c:pt>
                <c:pt idx="5">
                  <c:v>Andy Baruth</c:v>
                </c:pt>
                <c:pt idx="6">
                  <c:v>Vendor</c:v>
                </c:pt>
                <c:pt idx="7">
                  <c:v>Construction</c:v>
                </c:pt>
                <c:pt idx="8">
                  <c:v>Tyler Reck</c:v>
                </c:pt>
                <c:pt idx="9">
                  <c:v>Ali Malik</c:v>
                </c:pt>
                <c:pt idx="10">
                  <c:v>Rasheed Oduro</c:v>
                </c:pt>
                <c:pt idx="11">
                  <c:v>Available</c:v>
                </c:pt>
                <c:pt idx="12">
                  <c:v>Jacob Farsalas</c:v>
                </c:pt>
                <c:pt idx="13">
                  <c:v>Dilan Centeno</c:v>
                </c:pt>
                <c:pt idx="14">
                  <c:v>ADAPT</c:v>
                </c:pt>
                <c:pt idx="15">
                  <c:v>Rene Contreras</c:v>
                </c:pt>
                <c:pt idx="16">
                  <c:v>Raul Ledezma</c:v>
                </c:pt>
                <c:pt idx="17">
                  <c:v>Mohan Murugesan</c:v>
                </c:pt>
                <c:pt idx="18">
                  <c:v>Aden Maigag</c:v>
                </c:pt>
                <c:pt idx="19">
                  <c:v>Engineering</c:v>
                </c:pt>
                <c:pt idx="20">
                  <c:v>Oscar Handal</c:v>
                </c:pt>
                <c:pt idx="21">
                  <c:v>Procurement</c:v>
                </c:pt>
                <c:pt idx="22">
                  <c:v>Rojna Ghamsari</c:v>
                </c:pt>
                <c:pt idx="23">
                  <c:v>Saidee Porras</c:v>
                </c:pt>
                <c:pt idx="24">
                  <c:v>Syed Ali</c:v>
                </c:pt>
              </c:strCache>
            </c:strRef>
          </c:cat>
          <c:val>
            <c:numRef>
              <c:f>'Executive Dashboard'!$K$60:$K$84</c:f>
              <c:numCache>
                <c:formatCode>0.0%</c:formatCode>
                <c:ptCount val="25"/>
                <c:pt idx="0">
                  <c:v>0.28157894736842104</c:v>
                </c:pt>
                <c:pt idx="1">
                  <c:v>0.48181818181818181</c:v>
                </c:pt>
                <c:pt idx="2">
                  <c:v>1</c:v>
                </c:pt>
                <c:pt idx="3">
                  <c:v>0.6</c:v>
                </c:pt>
                <c:pt idx="4">
                  <c:v>0.7857142857142857</c:v>
                </c:pt>
                <c:pt idx="5">
                  <c:v>0</c:v>
                </c:pt>
                <c:pt idx="6">
                  <c:v>0</c:v>
                </c:pt>
                <c:pt idx="7">
                  <c:v>0</c:v>
                </c:pt>
                <c:pt idx="8">
                  <c:v>0.47857142857142859</c:v>
                </c:pt>
                <c:pt idx="9">
                  <c:v>0.7</c:v>
                </c:pt>
                <c:pt idx="10">
                  <c:v>0.60185185185185186</c:v>
                </c:pt>
                <c:pt idx="11">
                  <c:v>3.0864197530864196E-3</c:v>
                </c:pt>
                <c:pt idx="12">
                  <c:v>1</c:v>
                </c:pt>
                <c:pt idx="13">
                  <c:v>0.53333333333333333</c:v>
                </c:pt>
                <c:pt idx="14">
                  <c:v>0</c:v>
                </c:pt>
                <c:pt idx="15">
                  <c:v>0.68780487804878054</c:v>
                </c:pt>
                <c:pt idx="16">
                  <c:v>0.7142857142857143</c:v>
                </c:pt>
                <c:pt idx="17">
                  <c:v>1</c:v>
                </c:pt>
                <c:pt idx="18">
                  <c:v>0</c:v>
                </c:pt>
                <c:pt idx="19">
                  <c:v>0</c:v>
                </c:pt>
                <c:pt idx="20">
                  <c:v>0.80909090909090908</c:v>
                </c:pt>
                <c:pt idx="21">
                  <c:v>0</c:v>
                </c:pt>
                <c:pt idx="22">
                  <c:v>1</c:v>
                </c:pt>
                <c:pt idx="23">
                  <c:v>0</c:v>
                </c:pt>
                <c:pt idx="24">
                  <c:v>1</c:v>
                </c:pt>
              </c:numCache>
            </c:numRef>
          </c:val>
          <c:extLst>
            <c:ext xmlns:c16="http://schemas.microsoft.com/office/drawing/2014/chart" uri="{C3380CC4-5D6E-409C-BE32-E72D297353CC}">
              <c16:uniqueId val="{00000000-D332-48B1-86B6-4977E9A7B8D2}"/>
            </c:ext>
          </c:extLst>
        </c:ser>
        <c:dLbls>
          <c:dLblPos val="outEnd"/>
          <c:showLegendKey val="0"/>
          <c:showVal val="1"/>
          <c:showCatName val="0"/>
          <c:showSerName val="0"/>
          <c:showPercent val="0"/>
          <c:showBubbleSize val="0"/>
        </c:dLbls>
        <c:gapWidth val="150"/>
        <c:axId val="10"/>
        <c:axId val="100"/>
      </c:barChart>
      <c:catAx>
        <c:axId val="10"/>
        <c:scaling>
          <c:orientation val="minMax"/>
        </c:scaling>
        <c:delete val="0"/>
        <c:axPos val="l"/>
        <c:title>
          <c:overlay val="0"/>
        </c:title>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b"/>
        <c:majorGridlines/>
        <c:title>
          <c:overlay val="0"/>
        </c:title>
        <c:numFmt formatCode="0.0%" sourceLinked="1"/>
        <c:majorTickMark val="out"/>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Weighted Progress by Due Quarter</a:t>
            </a:r>
          </a:p>
        </c:rich>
      </c:tx>
      <c:layout>
        <c:manualLayout>
          <c:xMode val="edge"/>
          <c:yMode val="edge"/>
          <c:x val="0.38456334944898041"/>
          <c:y val="3.3994765917930748E-2"/>
        </c:manualLayout>
      </c:layout>
      <c:overlay val="1"/>
    </c:title>
    <c:autoTitleDeleted val="0"/>
    <c:plotArea>
      <c:layout/>
      <c:barChart>
        <c:barDir val="col"/>
        <c:grouping val="clustered"/>
        <c:varyColors val="1"/>
        <c:ser>
          <c:idx val="0"/>
          <c:order val="0"/>
          <c:tx>
            <c:strRef>
              <c:f>'Executive Dashboard'!$E$49</c:f>
              <c:strCache>
                <c:ptCount val="1"/>
                <c:pt idx="0">
                  <c:v>Weighted %</c:v>
                </c:pt>
              </c:strCache>
            </c:strRef>
          </c:tx>
          <c:spPr>
            <a:ln>
              <a:prstDash val="solid"/>
            </a:ln>
          </c:spPr>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'Executive Dashboard'!$A$50:$A$55</c:f>
              <c:strCache>
                <c:ptCount val="6"/>
                <c:pt idx="0">
                  <c:v>Q1</c:v>
                </c:pt>
                <c:pt idx="1">
                  <c:v>Q2</c:v>
                </c:pt>
                <c:pt idx="2">
                  <c:v>Q3</c:v>
                </c:pt>
                <c:pt idx="3">
                  <c:v>Q4</c:v>
                </c:pt>
                <c:pt idx="4">
                  <c:v>No Date</c:v>
                </c:pt>
                <c:pt idx="5">
                  <c:v>Other</c:v>
                </c:pt>
              </c:strCache>
            </c:strRef>
          </c:cat>
          <c:val>
            <c:numRef>
              <c:f>'Executive Dashboard'!$E$50:$E$55</c:f>
              <c:numCache>
                <c:formatCode>0.0%</c:formatCode>
                <c:ptCount val="6"/>
                <c:pt idx="0">
                  <c:v>0</c:v>
                </c:pt>
                <c:pt idx="1">
                  <c:v>0.79107142857142865</c:v>
                </c:pt>
                <c:pt idx="2">
                  <c:v>0.27539682539682542</c:v>
                </c:pt>
                <c:pt idx="3">
                  <c:v>0</c:v>
                </c:pt>
                <c:pt idx="4">
                  <c:v>0.22538461538461538</c:v>
                </c:pt>
                <c:pt idx="5">
                  <c:v>0</c:v>
                </c:pt>
              </c:numCache>
            </c:numRef>
          </c:val>
          <c:extLst>
            <c:ext xmlns:c16="http://schemas.microsoft.com/office/drawing/2014/chart" uri="{C3380CC4-5D6E-409C-BE32-E72D297353CC}">
              <c16:uniqueId val="{00000000-1614-4CFF-81D2-13F33FAE9268}"/>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overlay val="0"/>
        </c:title>
        <c:numFmt formatCode="General" sourceLinked="1"/>
        <c:majorTickMark val="out"/>
        <c:minorTickMark val="none"/>
        <c:tickLblPos val="nextTo"/>
        <c:crossAx val="100"/>
        <c:crosses val="autoZero"/>
        <c:auto val="1"/>
        <c:lblAlgn val="ctr"/>
        <c:lblOffset val="100"/>
        <c:noMultiLvlLbl val="1"/>
      </c:catAx>
      <c:valAx>
        <c:axId val="100"/>
        <c:scaling>
          <c:orientation val="minMax"/>
          <c:max val="1"/>
        </c:scaling>
        <c:delete val="0"/>
        <c:axPos val="l"/>
        <c:majorGridlines/>
        <c:title>
          <c:overlay val="0"/>
        </c:title>
        <c:numFmt formatCode="0%" sourceLinked="0"/>
        <c:majorTickMark val="out"/>
        <c:minorTickMark val="none"/>
        <c:tickLblPos val="nextTo"/>
        <c:crossAx val="10"/>
        <c:crosses val="autoZero"/>
        <c:crossBetween val="between"/>
      </c:valAx>
      <c:dTable>
        <c:showHorzBorder val="1"/>
        <c:showVertBorder val="1"/>
        <c:showOutline val="1"/>
        <c:showKeys val="1"/>
      </c:dTable>
    </c:plotArea>
    <c:legend>
      <c:legendPos val="r"/>
      <c:overlay val="0"/>
    </c:legend>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Top initiatives by Weight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Top initiatives by Weight</a:t>
          </a:r>
        </a:p>
      </cx:txPr>
    </cx:title>
    <cx:plotArea>
      <cx:plotAreaRegion>
        <cx:series layoutId="clusteredColumn" uniqueId="{00000000-21C6-42CE-8A6F-73B035A5D9FF}">
          <cx:tx>
            <cx:txData>
              <cx:f>_xlchart.v1.1</cx:f>
              <cx:v>% Overall of Categories</cx:v>
            </cx:txData>
          </cx:tx>
          <cx:dataId val="0"/>
          <cx:layoutPr>
            <cx:aggregation/>
          </cx:layoutPr>
          <cx:axisId val="1"/>
        </cx:series>
        <cx:series layoutId="paretoLine" ownerIdx="0" uniqueId="{E1F30015-2B18-4037-8A20-7AEC2E794B23}">
          <cx:axisId val="2"/>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oneCellAnchor>
    <xdr:from>
      <xdr:col>16</xdr:col>
      <xdr:colOff>19050</xdr:colOff>
      <xdr:row>3</xdr:row>
      <xdr:rowOff>161925</xdr:rowOff>
    </xdr:from>
    <xdr:ext cx="12687300" cy="4743450"/>
    <xdr:graphicFrame macro="">
      <xdr:nvGraphicFramePr>
        <xdr:cNvPr id="3"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12</xdr:col>
      <xdr:colOff>436614</xdr:colOff>
      <xdr:row>56</xdr:row>
      <xdr:rowOff>142331</xdr:rowOff>
    </xdr:from>
    <xdr:ext cx="6740898" cy="5891077"/>
    <xdr:graphicFrame macro="">
      <xdr:nvGraphicFramePr>
        <xdr:cNvPr id="5" name="Chart 2">
          <a:extLst>
            <a:ext uri="{FF2B5EF4-FFF2-40B4-BE49-F238E27FC236}">
              <a16:creationId xmlns:a16="http://schemas.microsoft.com/office/drawing/2014/main" id="{00000000-0008-0000-0000-000003000000}"/>
            </a:ext>
            <a:ext uri="{147F2762-F138-4A5C-976F-8EAC2B608ADB}">
              <a16:predDERef xmlns:a16="http://schemas.microsoft.com/office/drawing/2014/main" pre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289560</xdr:colOff>
      <xdr:row>55</xdr:row>
      <xdr:rowOff>186017</xdr:rowOff>
    </xdr:from>
    <xdr:ext cx="6550512" cy="4314266"/>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twoCellAnchor>
    <xdr:from>
      <xdr:col>13</xdr:col>
      <xdr:colOff>199207</xdr:colOff>
      <xdr:row>33</xdr:row>
      <xdr:rowOff>0</xdr:rowOff>
    </xdr:from>
    <xdr:to>
      <xdr:col>31</xdr:col>
      <xdr:colOff>170328</xdr:colOff>
      <xdr:row>55</xdr:row>
      <xdr:rowOff>91440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B72CAA24-5543-D341-5B54-FDFCADC6BF5F}"/>
                </a:ext>
                <a:ext uri="{147F2762-F138-4A5C-976F-8EAC2B608ADB}">
                  <a16:predDERef xmlns:a16="http://schemas.microsoft.com/office/drawing/2014/main" pred="{00000000-0008-0000-00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ActionItems" displayName="tblActionItems" ref="A1:V135" headerRowDxfId="12">
  <autoFilter ref="A1:V135" xr:uid="{00000000-0009-0000-0100-000002000000}"/>
  <tableColumns count="22">
    <tableColumn id="1" xr3:uid="{00000000-0010-0000-0100-000001000000}" name="Item #">
      <calculatedColumnFormula>IF(A1="Item #",1,A1+1)</calculatedColumnFormula>
    </tableColumn>
    <tableColumn id="2" xr3:uid="{00000000-0010-0000-0100-000002000000}" name="Initiative" dataDxfId="11"/>
    <tableColumn id="3" xr3:uid="{00000000-0010-0000-0100-000003000000}" name="Discipline" dataDxfId="10"/>
    <tableColumn id="4" xr3:uid="{00000000-0010-0000-0100-000004000000}" name="Category" dataDxfId="9"/>
    <tableColumn id="5" xr3:uid="{00000000-0010-0000-0100-000005000000}" name="Deliverable" dataDxfId="8"/>
    <tableColumn id="6" xr3:uid="{00000000-0010-0000-0100-000006000000}" name="Action" dataDxfId="7"/>
    <tableColumn id="7" xr3:uid="{00000000-0010-0000-0100-000007000000}" name="Assigned To" dataDxfId="6"/>
    <tableColumn id="8" xr3:uid="{00000000-0010-0000-0100-000008000000}" name="Reviewer" dataDxfId="5"/>
    <tableColumn id="9" xr3:uid="{00000000-0010-0000-0100-000009000000}" name="Status"/>
    <tableColumn id="10" xr3:uid="{00000000-0010-0000-0100-00000A000000}" name="Notes"/>
    <tableColumn id="11" xr3:uid="{00000000-0010-0000-0100-00000B000000}" name="Priority"/>
    <tableColumn id="12" xr3:uid="{00000000-0010-0000-0100-00000C000000}" name="Due Date"/>
    <tableColumn id="13" xr3:uid="{00000000-0010-0000-0100-00000D000000}" name="Priority Weight"/>
    <tableColumn id="14" xr3:uid="{00000000-0010-0000-0100-00000E000000}" name="Manual Progress %"/>
    <tableColumn id="15" xr3:uid="{00000000-0010-0000-0100-00000F000000}" name="Effective Progress %">
      <calculatedColumnFormula>IF(N2="",IF(I2="Closed Out",1,IF(I2="Complete",1,IF(I2="Approved",1,IF(I2="Reviewed",1,IF(I2="In Review",0.9,IF(I2="75% Complete",0.75,IF(I2="50% Complete",0.5,IF(I2="25% Complete",0.25,IF(I2="Started",0.25,0))))))))),MAX(IF(I2="Closed Out",1,IF(I2="Complete",1,IF(I2="Approved",1,IF(I2="Reviewed",1,IF(I2="In Review",0.9,IF(I2="75% Complete",0.75,IF(I2="50% Complete",0.5,IF(I2="25% Complete",0.25,IF(I2="Started",0.25,0))))))))),N2))</calculatedColumnFormula>
    </tableColumn>
    <tableColumn id="16" xr3:uid="{00000000-0010-0000-0100-000010000000}" name="Weighted Earned"/>
    <tableColumn id="17" xr3:uid="{00000000-0010-0000-0100-000011000000}" name="Status Bucket"/>
    <tableColumn id="18" xr3:uid="{00000000-0010-0000-0100-000012000000}" name="Overdue Flag"/>
    <tableColumn id="19" xr3:uid="{00000000-0010-0000-0100-000013000000}" name="This Week Earned"/>
    <tableColumn id="20" xr3:uid="{00000000-0010-0000-0100-000014000000}" name="Last Updated"/>
    <tableColumn id="21" xr3:uid="{00000000-0010-0000-0100-000015000000}" name="Week Ending"/>
    <tableColumn id="22" xr3:uid="{00000000-0010-0000-0100-000016000000}" name="Due Quarter Bucket" dataDxfId="4">
      <calculatedColumnFormula>IF(ISNUMBER(L2),"Q"&amp;ROUNDUP(MONTH(L2)/3,0),IF(LEFT(TRIM(CLEAN(L2)),1)="Q","Q"&amp;VALUE(RIGHT(TRIM(CLEAN(L2)),1)),"No Date"))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WeeklyTracking" displayName="tblWeeklyTracking" ref="A1:L10" headerRowDxfId="0">
  <autoFilter ref="A1:L10" xr:uid="{00000000-0009-0000-0100-000001000000}"/>
  <tableColumns count="12">
    <tableColumn id="1" xr3:uid="{00000000-0010-0000-0000-000001000000}" name="Week Ending"/>
    <tableColumn id="2" xr3:uid="{00000000-0010-0000-0000-000002000000}" name="Snapshot File"/>
    <tableColumn id="3" xr3:uid="{00000000-0010-0000-0000-000003000000}" name="Total Weighted Scope"/>
    <tableColumn id="4" xr3:uid="{00000000-0010-0000-0000-000004000000}" name="Actual Cumulative %">
      <calculatedColumnFormula>IF(C2=0,"",E2/C2)</calculatedColumnFormula>
    </tableColumn>
    <tableColumn id="5" xr3:uid="{00000000-0010-0000-0000-000005000000}" name="Actual Cumulative Earned"/>
    <tableColumn id="6" xr3:uid="{00000000-0010-0000-0000-000006000000}" name="Planned Cum %"/>
    <tableColumn id="7" xr3:uid="{00000000-0010-0000-0000-000007000000}" name="Planned Cum Earned"/>
    <tableColumn id="8" xr3:uid="{00000000-0010-0000-0000-000008000000}" name="Weekly Actual Earned"/>
    <tableColumn id="9" xr3:uid="{00000000-0010-0000-0000-000009000000}" name="Weekly Planned Earned"/>
    <tableColumn id="10" xr3:uid="{00000000-0010-0000-0000-00000A000000}" name="Variance %"/>
    <tableColumn id="11" xr3:uid="{00000000-0010-0000-0000-00000B000000}" name="RAG"/>
    <tableColumn id="12" xr3:uid="{00000000-0010-0000-0000-00000C000000}" name="Notes"/>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35"/>
  <sheetViews>
    <sheetView showGridLines="0" zoomScale="85" zoomScaleNormal="85" workbookViewId="0">
      <pane ySplit="1" topLeftCell="F27" activePane="bottomLeft" state="frozen"/>
      <selection pane="bottomLeft" activeCell="L38" sqref="L38"/>
    </sheetView>
  </sheetViews>
  <sheetFormatPr defaultRowHeight="14.45"/>
  <cols>
    <col min="1" max="1" width="11.140625" bestFit="1" customWidth="1"/>
    <col min="2" max="2" width="30.28515625" style="25" bestFit="1" customWidth="1"/>
    <col min="3" max="3" width="27.5703125" style="25" bestFit="1" customWidth="1"/>
    <col min="4" max="4" width="21.7109375" style="25" customWidth="1"/>
    <col min="5" max="5" width="27.5703125" style="25" customWidth="1"/>
    <col min="6" max="6" width="59.140625" style="25" customWidth="1"/>
    <col min="7" max="7" width="19" style="25" bestFit="1" customWidth="1"/>
    <col min="8" max="8" width="17.42578125" style="25" customWidth="1"/>
    <col min="9" max="9" width="13.85546875" bestFit="1" customWidth="1"/>
    <col min="10" max="10" width="48" customWidth="1"/>
    <col min="11" max="11" width="12.140625" bestFit="1" customWidth="1"/>
    <col min="12" max="12" width="21.7109375" bestFit="1" customWidth="1"/>
    <col min="13" max="13" width="10.7109375" customWidth="1"/>
    <col min="14" max="14" width="11.42578125" customWidth="1"/>
    <col min="15" max="15" width="11.85546875" customWidth="1"/>
    <col min="16" max="16" width="10.7109375" customWidth="1"/>
    <col min="17" max="17" width="8" customWidth="1"/>
    <col min="18" max="18" width="9.7109375" customWidth="1"/>
    <col min="19" max="19" width="10.7109375" customWidth="1"/>
    <col min="20" max="20" width="9.85546875" customWidth="1"/>
    <col min="21" max="21" width="10.28515625" customWidth="1"/>
    <col min="22" max="22" width="23.140625" bestFit="1" customWidth="1"/>
  </cols>
  <sheetData>
    <row r="1" spans="1:22" s="22" customFormat="1" ht="36" customHeight="1">
      <c r="A1" s="21" t="s">
        <v>0</v>
      </c>
      <c r="B1" s="21" t="s">
        <v>1</v>
      </c>
      <c r="C1" s="21" t="s">
        <v>2</v>
      </c>
      <c r="D1" s="21" t="s">
        <v>3</v>
      </c>
      <c r="E1" s="21" t="s">
        <v>4</v>
      </c>
      <c r="F1" s="21" t="s">
        <v>5</v>
      </c>
      <c r="G1" s="21" t="s">
        <v>6</v>
      </c>
      <c r="H1" s="21" t="s">
        <v>7</v>
      </c>
      <c r="I1" s="21" t="s">
        <v>8</v>
      </c>
      <c r="J1" s="21" t="s">
        <v>9</v>
      </c>
      <c r="K1" s="21" t="s">
        <v>10</v>
      </c>
      <c r="L1" s="21" t="s">
        <v>11</v>
      </c>
      <c r="M1" s="21" t="s">
        <v>12</v>
      </c>
      <c r="N1" s="21" t="s">
        <v>13</v>
      </c>
      <c r="O1" s="21" t="s">
        <v>14</v>
      </c>
      <c r="P1" s="21" t="s">
        <v>15</v>
      </c>
      <c r="Q1" s="21" t="s">
        <v>16</v>
      </c>
      <c r="R1" s="21" t="s">
        <v>17</v>
      </c>
      <c r="S1" s="21" t="s">
        <v>18</v>
      </c>
      <c r="T1" s="21" t="s">
        <v>19</v>
      </c>
      <c r="U1" s="21" t="s">
        <v>20</v>
      </c>
      <c r="V1" s="21" t="s">
        <v>21</v>
      </c>
    </row>
    <row r="2" spans="1:22" ht="45">
      <c r="A2" s="23">
        <f>IF(A1="Item #",1,A1+1)</f>
        <v>1</v>
      </c>
      <c r="B2" s="5" t="s">
        <v>22</v>
      </c>
      <c r="C2" s="5" t="s">
        <v>23</v>
      </c>
      <c r="D2" s="5" t="s">
        <v>24</v>
      </c>
      <c r="E2" s="24" t="s">
        <v>25</v>
      </c>
      <c r="F2" s="24" t="s">
        <v>26</v>
      </c>
      <c r="G2" s="5" t="s">
        <v>27</v>
      </c>
      <c r="H2" s="5" t="s">
        <v>28</v>
      </c>
      <c r="I2" s="5" t="s">
        <v>29</v>
      </c>
      <c r="J2" s="14" t="s">
        <v>30</v>
      </c>
      <c r="K2" s="5" t="s">
        <v>31</v>
      </c>
      <c r="L2" s="13"/>
      <c r="M2" s="5">
        <f t="shared" ref="M2:M47" si="0">IF(K2="Critical",4,IF(K2="High",3,IF(K2="Medium",2,IF(K2="Low",1,0))))</f>
        <v>3</v>
      </c>
      <c r="N2" s="15">
        <v>0.25</v>
      </c>
      <c r="O2" s="15">
        <f>IF(N2="",IF(I2="Closed Out",1,IF(I2="Complete",1,IF(I2="Approved",1,IF(I2="Reviewed",1,IF(I2="In Review",0.9,IF(I2="75% Complete",0.75,IF(I2="50% Complete",0.5,IF(I2="25% Complete",0.25,IF(I2="Started",0.25,0))))))))),MAX(IF(I2="Closed Out",1,IF(I2="Complete",1,IF(I2="Approved",1,IF(I2="Reviewed",1,IF(I2="In Review",0.9,IF(I2="75% Complete",0.75,IF(I2="50% Complete",0.5,IF(I2="25% Complete",0.25,IF(I2="Started",0.25,0))))))))),N2))</f>
        <v>0.25</v>
      </c>
      <c r="P2" s="5">
        <f t="shared" ref="P2:P47" si="1">M2*O2</f>
        <v>0.75</v>
      </c>
      <c r="Q2" s="5" t="str">
        <f t="shared" ref="Q2:Q47" si="2">IF(OR(I2="Closed Out",I2="Complete",I2="Approved",I2="Reviewed"),"Closed",IF(OR(I2="HOLD",I2="Pause"),"Blocked","Open"))</f>
        <v>Open</v>
      </c>
      <c r="R2" s="5">
        <f t="shared" ref="R2:R47" ca="1" si="3">IF(AND(Q2="Open",ISNUMBER(L2),L2&lt;TODAY()),1,0)</f>
        <v>0</v>
      </c>
      <c r="S2" s="5">
        <v>0</v>
      </c>
      <c r="T2" s="13"/>
      <c r="U2" s="13"/>
      <c r="V2" s="5" t="str">
        <f t="shared" ref="V2:V79" si="4">IF(ISNUMBER(L2),"Q"&amp;ROUNDUP(MONTH(L2)/3,0),IF(LEFT(TRIM(CLEAN(L2)),1)="Q","Q"&amp;VALUE(RIGHT(TRIM(CLEAN(L2)),1)),"No Date"))</f>
        <v>No Date</v>
      </c>
    </row>
    <row r="3" spans="1:22" ht="30">
      <c r="A3" s="23">
        <f t="shared" ref="A3:A80" si="5">IF(A2="Item #",1,A2+1)</f>
        <v>2</v>
      </c>
      <c r="B3" s="5" t="s">
        <v>32</v>
      </c>
      <c r="C3" s="5" t="s">
        <v>33</v>
      </c>
      <c r="D3" s="5" t="s">
        <v>34</v>
      </c>
      <c r="E3" s="24" t="s">
        <v>35</v>
      </c>
      <c r="F3" s="24" t="s">
        <v>36</v>
      </c>
      <c r="G3" s="5" t="s">
        <v>28</v>
      </c>
      <c r="H3" s="5"/>
      <c r="I3" s="5" t="s">
        <v>37</v>
      </c>
      <c r="J3" s="14" t="s">
        <v>38</v>
      </c>
      <c r="K3" s="5" t="s">
        <v>31</v>
      </c>
      <c r="L3" s="13" t="s">
        <v>37</v>
      </c>
      <c r="M3" s="5">
        <f t="shared" si="0"/>
        <v>3</v>
      </c>
      <c r="N3" s="15">
        <v>0</v>
      </c>
      <c r="O3" s="15">
        <f t="shared" ref="O3:O80" si="6">IF(N3="",IF(I3="Closed Out",1,IF(I3="Complete",1,IF(I3="Approved",1,IF(I3="Reviewed",1,IF(I3="In Review",0.9,IF(I3="75% Complete",0.75,IF(I3="50% Complete",0.5,IF(I3="25% Complete",0.25,IF(I3="Started",0.25,0))))))))),MAX(IF(I3="Closed Out",1,IF(I3="Complete",1,IF(I3="Approved",1,IF(I3="Reviewed",1,IF(I3="In Review",0.9,IF(I3="75% Complete",0.75,IF(I3="50% Complete",0.5,IF(I3="25% Complete",0.25,IF(I3="Started",0.25,0))))))))),N3))</f>
        <v>0</v>
      </c>
      <c r="P3" s="5">
        <f t="shared" si="1"/>
        <v>0</v>
      </c>
      <c r="Q3" s="5" t="str">
        <f t="shared" si="2"/>
        <v>Blocked</v>
      </c>
      <c r="R3" s="5">
        <f t="shared" ca="1" si="3"/>
        <v>0</v>
      </c>
      <c r="S3" s="5">
        <v>0</v>
      </c>
      <c r="T3" s="13"/>
      <c r="U3" s="13"/>
      <c r="V3" s="5" t="str">
        <f t="shared" si="4"/>
        <v>No Date</v>
      </c>
    </row>
    <row r="4" spans="1:22" ht="15">
      <c r="A4" s="23">
        <f t="shared" si="5"/>
        <v>3</v>
      </c>
      <c r="B4" s="5" t="s">
        <v>32</v>
      </c>
      <c r="C4" s="5" t="s">
        <v>33</v>
      </c>
      <c r="D4" s="5" t="s">
        <v>34</v>
      </c>
      <c r="E4" s="24" t="s">
        <v>35</v>
      </c>
      <c r="F4" s="24" t="s">
        <v>39</v>
      </c>
      <c r="G4" s="5" t="s">
        <v>28</v>
      </c>
      <c r="H4" s="5"/>
      <c r="I4" s="5" t="s">
        <v>37</v>
      </c>
      <c r="J4" s="14" t="s">
        <v>40</v>
      </c>
      <c r="K4" s="5" t="s">
        <v>31</v>
      </c>
      <c r="L4" s="13" t="s">
        <v>37</v>
      </c>
      <c r="M4" s="5">
        <f t="shared" si="0"/>
        <v>3</v>
      </c>
      <c r="N4" s="15">
        <v>0</v>
      </c>
      <c r="O4" s="15">
        <f t="shared" si="6"/>
        <v>0</v>
      </c>
      <c r="P4" s="5">
        <f t="shared" si="1"/>
        <v>0</v>
      </c>
      <c r="Q4" s="5" t="str">
        <f t="shared" si="2"/>
        <v>Blocked</v>
      </c>
      <c r="R4" s="5">
        <f t="shared" ca="1" si="3"/>
        <v>0</v>
      </c>
      <c r="S4" s="5">
        <v>0</v>
      </c>
      <c r="T4" s="13"/>
      <c r="U4" s="13"/>
      <c r="V4" s="5" t="str">
        <f t="shared" si="4"/>
        <v>No Date</v>
      </c>
    </row>
    <row r="5" spans="1:22" ht="45">
      <c r="A5" s="23">
        <f t="shared" si="5"/>
        <v>4</v>
      </c>
      <c r="B5" s="5" t="s">
        <v>41</v>
      </c>
      <c r="C5" s="5" t="s">
        <v>42</v>
      </c>
      <c r="D5" s="5" t="s">
        <v>24</v>
      </c>
      <c r="E5" s="24" t="s">
        <v>41</v>
      </c>
      <c r="F5" s="24" t="s">
        <v>43</v>
      </c>
      <c r="G5" s="5" t="s">
        <v>44</v>
      </c>
      <c r="H5" s="5"/>
      <c r="I5" s="5" t="s">
        <v>45</v>
      </c>
      <c r="J5" s="14" t="s">
        <v>46</v>
      </c>
      <c r="K5" s="5" t="s">
        <v>47</v>
      </c>
      <c r="L5" s="16">
        <v>42505</v>
      </c>
      <c r="M5" s="5">
        <f t="shared" si="0"/>
        <v>4</v>
      </c>
      <c r="N5" s="15">
        <v>1</v>
      </c>
      <c r="O5" s="15">
        <f t="shared" si="6"/>
        <v>1</v>
      </c>
      <c r="P5" s="5">
        <f t="shared" si="1"/>
        <v>4</v>
      </c>
      <c r="Q5" s="5" t="str">
        <f t="shared" si="2"/>
        <v>Closed</v>
      </c>
      <c r="R5" s="5">
        <f t="shared" ca="1" si="3"/>
        <v>0</v>
      </c>
      <c r="S5" s="5">
        <v>0</v>
      </c>
      <c r="T5" s="13"/>
      <c r="U5" s="13"/>
      <c r="V5" s="5" t="str">
        <f t="shared" si="4"/>
        <v>Q2</v>
      </c>
    </row>
    <row r="6" spans="1:22" ht="45">
      <c r="A6" s="23">
        <f t="shared" si="5"/>
        <v>5</v>
      </c>
      <c r="B6" s="5" t="s">
        <v>48</v>
      </c>
      <c r="C6" s="5" t="s">
        <v>49</v>
      </c>
      <c r="D6" s="5" t="s">
        <v>50</v>
      </c>
      <c r="E6" s="24" t="s">
        <v>51</v>
      </c>
      <c r="F6" s="24" t="s">
        <v>52</v>
      </c>
      <c r="G6" s="5" t="s">
        <v>27</v>
      </c>
      <c r="H6" s="5" t="s">
        <v>28</v>
      </c>
      <c r="I6" s="5" t="s">
        <v>53</v>
      </c>
      <c r="J6" s="14" t="s">
        <v>54</v>
      </c>
      <c r="K6" s="5" t="s">
        <v>55</v>
      </c>
      <c r="L6" s="13"/>
      <c r="M6" s="5">
        <f t="shared" si="0"/>
        <v>2</v>
      </c>
      <c r="N6" s="15">
        <v>0.9</v>
      </c>
      <c r="O6" s="15">
        <f t="shared" si="6"/>
        <v>0.9</v>
      </c>
      <c r="P6" s="5">
        <f t="shared" si="1"/>
        <v>1.8</v>
      </c>
      <c r="Q6" s="5" t="str">
        <f t="shared" si="2"/>
        <v>Open</v>
      </c>
      <c r="R6" s="5">
        <f t="shared" ca="1" si="3"/>
        <v>0</v>
      </c>
      <c r="S6" s="5">
        <v>0</v>
      </c>
      <c r="T6" s="13"/>
      <c r="U6" s="13"/>
      <c r="V6" s="5" t="str">
        <f t="shared" si="4"/>
        <v>No Date</v>
      </c>
    </row>
    <row r="7" spans="1:22" ht="45">
      <c r="A7" s="23">
        <f t="shared" si="5"/>
        <v>6</v>
      </c>
      <c r="B7" s="5" t="s">
        <v>56</v>
      </c>
      <c r="C7" s="5" t="s">
        <v>23</v>
      </c>
      <c r="D7" s="5" t="s">
        <v>57</v>
      </c>
      <c r="E7" s="24" t="s">
        <v>58</v>
      </c>
      <c r="F7" s="24" t="s">
        <v>59</v>
      </c>
      <c r="G7" s="5" t="s">
        <v>28</v>
      </c>
      <c r="H7" s="5"/>
      <c r="I7" s="5" t="s">
        <v>37</v>
      </c>
      <c r="J7" s="14" t="s">
        <v>60</v>
      </c>
      <c r="K7" s="5" t="s">
        <v>61</v>
      </c>
      <c r="L7" s="13" t="s">
        <v>37</v>
      </c>
      <c r="M7" s="5">
        <f t="shared" si="0"/>
        <v>1</v>
      </c>
      <c r="N7" s="15">
        <v>0</v>
      </c>
      <c r="O7" s="15">
        <f t="shared" si="6"/>
        <v>0</v>
      </c>
      <c r="P7" s="5">
        <f t="shared" si="1"/>
        <v>0</v>
      </c>
      <c r="Q7" s="5" t="str">
        <f t="shared" si="2"/>
        <v>Blocked</v>
      </c>
      <c r="R7" s="5">
        <f t="shared" ca="1" si="3"/>
        <v>0</v>
      </c>
      <c r="S7" s="5">
        <v>0</v>
      </c>
      <c r="T7" s="13"/>
      <c r="U7" s="13"/>
      <c r="V7" s="5" t="str">
        <f t="shared" si="4"/>
        <v>No Date</v>
      </c>
    </row>
    <row r="8" spans="1:22" ht="30">
      <c r="A8" s="23">
        <f t="shared" si="5"/>
        <v>7</v>
      </c>
      <c r="B8" s="5" t="s">
        <v>48</v>
      </c>
      <c r="C8" s="5" t="s">
        <v>23</v>
      </c>
      <c r="D8" s="5" t="s">
        <v>50</v>
      </c>
      <c r="E8" s="24" t="s">
        <v>62</v>
      </c>
      <c r="F8" s="24" t="s">
        <v>63</v>
      </c>
      <c r="G8" s="5" t="s">
        <v>27</v>
      </c>
      <c r="H8" s="5" t="s">
        <v>28</v>
      </c>
      <c r="I8" s="5" t="s">
        <v>29</v>
      </c>
      <c r="J8" s="14" t="s">
        <v>64</v>
      </c>
      <c r="K8" s="5" t="s">
        <v>55</v>
      </c>
      <c r="L8" s="13"/>
      <c r="M8" s="5">
        <f t="shared" si="0"/>
        <v>2</v>
      </c>
      <c r="N8" s="15">
        <v>0.25</v>
      </c>
      <c r="O8" s="15">
        <f t="shared" si="6"/>
        <v>0.25</v>
      </c>
      <c r="P8" s="5">
        <f t="shared" si="1"/>
        <v>0.5</v>
      </c>
      <c r="Q8" s="5" t="str">
        <f t="shared" si="2"/>
        <v>Open</v>
      </c>
      <c r="R8" s="5">
        <f t="shared" ca="1" si="3"/>
        <v>0</v>
      </c>
      <c r="S8" s="5">
        <v>0</v>
      </c>
      <c r="T8" s="13"/>
      <c r="U8" s="13"/>
      <c r="V8" s="5" t="str">
        <f t="shared" si="4"/>
        <v>No Date</v>
      </c>
    </row>
    <row r="9" spans="1:22" ht="75">
      <c r="A9" s="23">
        <f t="shared" si="5"/>
        <v>8</v>
      </c>
      <c r="B9" s="5" t="s">
        <v>48</v>
      </c>
      <c r="C9" s="5" t="s">
        <v>23</v>
      </c>
      <c r="D9" s="5" t="s">
        <v>24</v>
      </c>
      <c r="E9" s="24" t="s">
        <v>65</v>
      </c>
      <c r="F9" s="24" t="s">
        <v>66</v>
      </c>
      <c r="G9" s="5" t="s">
        <v>67</v>
      </c>
      <c r="H9" s="5"/>
      <c r="I9" s="5" t="s">
        <v>37</v>
      </c>
      <c r="J9" s="14" t="s">
        <v>68</v>
      </c>
      <c r="K9" s="5" t="s">
        <v>55</v>
      </c>
      <c r="L9" s="13" t="s">
        <v>69</v>
      </c>
      <c r="M9" s="5">
        <f t="shared" si="0"/>
        <v>2</v>
      </c>
      <c r="N9" s="15">
        <v>0</v>
      </c>
      <c r="O9" s="15">
        <f t="shared" si="6"/>
        <v>0</v>
      </c>
      <c r="P9" s="5">
        <f t="shared" si="1"/>
        <v>0</v>
      </c>
      <c r="Q9" s="5" t="str">
        <f t="shared" si="2"/>
        <v>Blocked</v>
      </c>
      <c r="R9" s="5">
        <f t="shared" ca="1" si="3"/>
        <v>0</v>
      </c>
      <c r="S9" s="5">
        <v>0</v>
      </c>
      <c r="T9" s="13"/>
      <c r="U9" s="13"/>
      <c r="V9" s="5" t="str">
        <f t="shared" si="4"/>
        <v>Q3</v>
      </c>
    </row>
    <row r="10" spans="1:22" ht="30">
      <c r="A10" s="23">
        <f t="shared" si="5"/>
        <v>9</v>
      </c>
      <c r="B10" s="5" t="s">
        <v>22</v>
      </c>
      <c r="C10" s="5" t="s">
        <v>33</v>
      </c>
      <c r="D10" s="5" t="s">
        <v>70</v>
      </c>
      <c r="E10" s="24" t="s">
        <v>51</v>
      </c>
      <c r="F10" s="24" t="s">
        <v>71</v>
      </c>
      <c r="G10" s="5" t="s">
        <v>28</v>
      </c>
      <c r="H10" s="5"/>
      <c r="I10" s="5" t="s">
        <v>72</v>
      </c>
      <c r="J10" s="14"/>
      <c r="K10" s="5" t="s">
        <v>47</v>
      </c>
      <c r="L10" s="16">
        <v>45789</v>
      </c>
      <c r="M10" s="5">
        <f t="shared" si="0"/>
        <v>4</v>
      </c>
      <c r="N10" s="15">
        <v>0</v>
      </c>
      <c r="O10" s="15">
        <f t="shared" si="6"/>
        <v>0</v>
      </c>
      <c r="P10" s="5">
        <f t="shared" si="1"/>
        <v>0</v>
      </c>
      <c r="Q10" s="5" t="str">
        <f t="shared" si="2"/>
        <v>Open</v>
      </c>
      <c r="R10" s="5">
        <f t="shared" ca="1" si="3"/>
        <v>1</v>
      </c>
      <c r="S10" s="5">
        <v>0</v>
      </c>
      <c r="T10" s="13"/>
      <c r="U10" s="13"/>
      <c r="V10" s="5" t="str">
        <f t="shared" si="4"/>
        <v>Q2</v>
      </c>
    </row>
    <row r="11" spans="1:22" ht="45">
      <c r="A11" s="23">
        <f t="shared" si="5"/>
        <v>10</v>
      </c>
      <c r="B11" s="5" t="s">
        <v>73</v>
      </c>
      <c r="C11" s="5" t="s">
        <v>42</v>
      </c>
      <c r="D11" s="5" t="s">
        <v>24</v>
      </c>
      <c r="E11" s="24" t="s">
        <v>74</v>
      </c>
      <c r="F11" s="24" t="s">
        <v>75</v>
      </c>
      <c r="G11" s="5" t="s">
        <v>76</v>
      </c>
      <c r="H11" s="5" t="s">
        <v>77</v>
      </c>
      <c r="I11" s="5" t="s">
        <v>45</v>
      </c>
      <c r="J11" s="14" t="s">
        <v>78</v>
      </c>
      <c r="K11" s="5" t="s">
        <v>31</v>
      </c>
      <c r="L11" s="16">
        <v>45795</v>
      </c>
      <c r="M11" s="5">
        <f t="shared" si="0"/>
        <v>3</v>
      </c>
      <c r="N11" s="15">
        <v>1</v>
      </c>
      <c r="O11" s="15">
        <f t="shared" si="6"/>
        <v>1</v>
      </c>
      <c r="P11" s="5">
        <f t="shared" si="1"/>
        <v>3</v>
      </c>
      <c r="Q11" s="5" t="str">
        <f t="shared" si="2"/>
        <v>Closed</v>
      </c>
      <c r="R11" s="5">
        <f t="shared" ca="1" si="3"/>
        <v>0</v>
      </c>
      <c r="S11" s="5">
        <v>0</v>
      </c>
      <c r="T11" s="13"/>
      <c r="U11" s="13"/>
      <c r="V11" s="5" t="str">
        <f t="shared" si="4"/>
        <v>Q2</v>
      </c>
    </row>
    <row r="12" spans="1:22" ht="15">
      <c r="A12" s="23">
        <f t="shared" si="5"/>
        <v>11</v>
      </c>
      <c r="B12" s="5" t="s">
        <v>79</v>
      </c>
      <c r="C12" s="5" t="s">
        <v>23</v>
      </c>
      <c r="D12" s="5" t="s">
        <v>24</v>
      </c>
      <c r="E12" s="24" t="s">
        <v>80</v>
      </c>
      <c r="F12" s="24" t="s">
        <v>81</v>
      </c>
      <c r="G12" s="5" t="s">
        <v>82</v>
      </c>
      <c r="H12" s="5"/>
      <c r="I12" s="5" t="s">
        <v>37</v>
      </c>
      <c r="J12" s="14" t="s">
        <v>83</v>
      </c>
      <c r="K12" s="5" t="s">
        <v>61</v>
      </c>
      <c r="L12" s="13" t="s">
        <v>84</v>
      </c>
      <c r="M12" s="5">
        <f t="shared" si="0"/>
        <v>1</v>
      </c>
      <c r="N12" s="15">
        <v>0</v>
      </c>
      <c r="O12" s="15">
        <f t="shared" si="6"/>
        <v>0</v>
      </c>
      <c r="P12" s="5">
        <f t="shared" si="1"/>
        <v>0</v>
      </c>
      <c r="Q12" s="5" t="str">
        <f t="shared" si="2"/>
        <v>Blocked</v>
      </c>
      <c r="R12" s="5">
        <f t="shared" ca="1" si="3"/>
        <v>0</v>
      </c>
      <c r="S12" s="5">
        <v>0</v>
      </c>
      <c r="T12" s="13"/>
      <c r="U12" s="13"/>
      <c r="V12" s="5" t="str">
        <f t="shared" si="4"/>
        <v>No Date</v>
      </c>
    </row>
    <row r="13" spans="1:22" ht="30">
      <c r="A13" s="23">
        <f t="shared" si="5"/>
        <v>12</v>
      </c>
      <c r="B13" s="5" t="s">
        <v>85</v>
      </c>
      <c r="C13" s="5" t="s">
        <v>23</v>
      </c>
      <c r="D13" s="5" t="s">
        <v>24</v>
      </c>
      <c r="E13" s="24" t="s">
        <v>86</v>
      </c>
      <c r="F13" s="24" t="s">
        <v>87</v>
      </c>
      <c r="G13" s="5" t="s">
        <v>88</v>
      </c>
      <c r="H13" s="5"/>
      <c r="I13" s="5" t="s">
        <v>37</v>
      </c>
      <c r="J13" s="14" t="s">
        <v>89</v>
      </c>
      <c r="K13" s="5" t="s">
        <v>47</v>
      </c>
      <c r="L13" s="13"/>
      <c r="M13" s="5">
        <f t="shared" si="0"/>
        <v>4</v>
      </c>
      <c r="N13" s="15">
        <v>0</v>
      </c>
      <c r="O13" s="15">
        <f t="shared" si="6"/>
        <v>0</v>
      </c>
      <c r="P13" s="5">
        <f t="shared" si="1"/>
        <v>0</v>
      </c>
      <c r="Q13" s="5" t="str">
        <f t="shared" si="2"/>
        <v>Blocked</v>
      </c>
      <c r="R13" s="5">
        <f t="shared" ca="1" si="3"/>
        <v>0</v>
      </c>
      <c r="S13" s="5">
        <v>0</v>
      </c>
      <c r="T13" s="13"/>
      <c r="U13" s="13"/>
      <c r="V13" s="5" t="str">
        <f t="shared" si="4"/>
        <v>No Date</v>
      </c>
    </row>
    <row r="14" spans="1:22" ht="60">
      <c r="A14" s="23">
        <f t="shared" si="5"/>
        <v>13</v>
      </c>
      <c r="B14" s="5" t="s">
        <v>22</v>
      </c>
      <c r="C14" s="5" t="s">
        <v>42</v>
      </c>
      <c r="D14" s="5" t="s">
        <v>70</v>
      </c>
      <c r="E14" s="24" t="s">
        <v>58</v>
      </c>
      <c r="F14" s="24" t="s">
        <v>90</v>
      </c>
      <c r="G14" s="5" t="s">
        <v>67</v>
      </c>
      <c r="H14" s="5"/>
      <c r="I14" s="5" t="s">
        <v>91</v>
      </c>
      <c r="J14" s="14" t="s">
        <v>92</v>
      </c>
      <c r="K14" s="5" t="s">
        <v>61</v>
      </c>
      <c r="L14" s="13" t="s">
        <v>69</v>
      </c>
      <c r="M14" s="5">
        <f t="shared" si="0"/>
        <v>1</v>
      </c>
      <c r="N14" s="15">
        <v>0.5</v>
      </c>
      <c r="O14" s="15">
        <f t="shared" si="6"/>
        <v>0.5</v>
      </c>
      <c r="P14" s="5">
        <f t="shared" si="1"/>
        <v>0.5</v>
      </c>
      <c r="Q14" s="5" t="str">
        <f t="shared" si="2"/>
        <v>Open</v>
      </c>
      <c r="R14" s="5">
        <f t="shared" ca="1" si="3"/>
        <v>0</v>
      </c>
      <c r="S14" s="5">
        <v>0</v>
      </c>
      <c r="T14" s="13"/>
      <c r="U14" s="13"/>
      <c r="V14" s="5" t="str">
        <f t="shared" si="4"/>
        <v>Q3</v>
      </c>
    </row>
    <row r="15" spans="1:22" ht="45">
      <c r="A15" s="23">
        <f t="shared" si="5"/>
        <v>14</v>
      </c>
      <c r="B15" s="5" t="s">
        <v>85</v>
      </c>
      <c r="C15" s="5" t="s">
        <v>23</v>
      </c>
      <c r="D15" s="5" t="s">
        <v>24</v>
      </c>
      <c r="E15" s="24" t="s">
        <v>86</v>
      </c>
      <c r="F15" s="24" t="s">
        <v>93</v>
      </c>
      <c r="G15" s="5" t="s">
        <v>94</v>
      </c>
      <c r="H15" s="5"/>
      <c r="I15" s="5" t="s">
        <v>37</v>
      </c>
      <c r="J15" s="14" t="s">
        <v>95</v>
      </c>
      <c r="K15" s="5" t="s">
        <v>47</v>
      </c>
      <c r="L15" s="13"/>
      <c r="M15" s="5">
        <f t="shared" si="0"/>
        <v>4</v>
      </c>
      <c r="N15" s="15">
        <v>0</v>
      </c>
      <c r="O15" s="15">
        <f t="shared" si="6"/>
        <v>0</v>
      </c>
      <c r="P15" s="5">
        <f t="shared" si="1"/>
        <v>0</v>
      </c>
      <c r="Q15" s="5" t="str">
        <f t="shared" si="2"/>
        <v>Blocked</v>
      </c>
      <c r="R15" s="5">
        <f t="shared" ca="1" si="3"/>
        <v>0</v>
      </c>
      <c r="S15" s="5">
        <v>0</v>
      </c>
      <c r="T15" s="13"/>
      <c r="U15" s="13"/>
      <c r="V15" s="5" t="str">
        <f t="shared" si="4"/>
        <v>No Date</v>
      </c>
    </row>
    <row r="16" spans="1:22" ht="285">
      <c r="A16" s="23">
        <f t="shared" si="5"/>
        <v>15</v>
      </c>
      <c r="B16" s="5" t="s">
        <v>22</v>
      </c>
      <c r="C16" s="5" t="s">
        <v>23</v>
      </c>
      <c r="D16" s="5" t="s">
        <v>96</v>
      </c>
      <c r="E16" s="24" t="s">
        <v>97</v>
      </c>
      <c r="F16" s="24" t="s">
        <v>98</v>
      </c>
      <c r="G16" s="5" t="s">
        <v>99</v>
      </c>
      <c r="H16" s="5" t="s">
        <v>82</v>
      </c>
      <c r="I16" s="5" t="s">
        <v>100</v>
      </c>
      <c r="J16" s="14" t="s">
        <v>101</v>
      </c>
      <c r="K16" s="5" t="s">
        <v>31</v>
      </c>
      <c r="L16" s="16">
        <v>46190</v>
      </c>
      <c r="M16" s="5">
        <f t="shared" si="0"/>
        <v>3</v>
      </c>
      <c r="N16" s="15">
        <v>1</v>
      </c>
      <c r="O16" s="15">
        <f t="shared" si="6"/>
        <v>1</v>
      </c>
      <c r="P16" s="5">
        <f t="shared" si="1"/>
        <v>3</v>
      </c>
      <c r="Q16" s="5" t="str">
        <f t="shared" si="2"/>
        <v>Closed</v>
      </c>
      <c r="R16" s="5">
        <f t="shared" ca="1" si="3"/>
        <v>0</v>
      </c>
      <c r="S16" s="5">
        <v>0</v>
      </c>
      <c r="T16" s="13"/>
      <c r="U16" s="13"/>
      <c r="V16" s="5" t="str">
        <f t="shared" si="4"/>
        <v>Q2</v>
      </c>
    </row>
    <row r="17" spans="1:22" ht="15">
      <c r="A17" s="23">
        <f t="shared" si="5"/>
        <v>16</v>
      </c>
      <c r="B17" s="5" t="s">
        <v>22</v>
      </c>
      <c r="C17" s="5" t="s">
        <v>49</v>
      </c>
      <c r="D17" s="5" t="s">
        <v>102</v>
      </c>
      <c r="E17" s="24" t="s">
        <v>103</v>
      </c>
      <c r="F17" s="24" t="s">
        <v>104</v>
      </c>
      <c r="G17" s="5" t="s">
        <v>105</v>
      </c>
      <c r="H17" s="5" t="s">
        <v>28</v>
      </c>
      <c r="I17" s="5" t="s">
        <v>91</v>
      </c>
      <c r="J17" s="14" t="s">
        <v>106</v>
      </c>
      <c r="K17" s="5" t="s">
        <v>31</v>
      </c>
      <c r="L17" s="13" t="s">
        <v>69</v>
      </c>
      <c r="M17" s="5">
        <f t="shared" si="0"/>
        <v>3</v>
      </c>
      <c r="N17" s="15">
        <v>0.5</v>
      </c>
      <c r="O17" s="15">
        <f t="shared" si="6"/>
        <v>0.5</v>
      </c>
      <c r="P17" s="5">
        <f t="shared" si="1"/>
        <v>1.5</v>
      </c>
      <c r="Q17" s="5" t="str">
        <f t="shared" si="2"/>
        <v>Open</v>
      </c>
      <c r="R17" s="5">
        <f t="shared" ca="1" si="3"/>
        <v>0</v>
      </c>
      <c r="S17" s="5">
        <v>0</v>
      </c>
      <c r="T17" s="13"/>
      <c r="U17" s="13"/>
      <c r="V17" s="5" t="str">
        <f t="shared" si="4"/>
        <v>Q3</v>
      </c>
    </row>
    <row r="18" spans="1:22" ht="30">
      <c r="A18" s="23">
        <f t="shared" si="5"/>
        <v>17</v>
      </c>
      <c r="B18" s="5" t="s">
        <v>107</v>
      </c>
      <c r="C18" s="5" t="s">
        <v>23</v>
      </c>
      <c r="D18" s="5" t="s">
        <v>70</v>
      </c>
      <c r="E18" s="24" t="s">
        <v>58</v>
      </c>
      <c r="F18" s="24" t="s">
        <v>108</v>
      </c>
      <c r="G18" s="5" t="s">
        <v>28</v>
      </c>
      <c r="H18" s="5"/>
      <c r="I18" s="5" t="s">
        <v>45</v>
      </c>
      <c r="J18" s="14" t="s">
        <v>109</v>
      </c>
      <c r="K18" s="5" t="s">
        <v>31</v>
      </c>
      <c r="L18" s="16">
        <v>46141</v>
      </c>
      <c r="M18" s="5">
        <f t="shared" si="0"/>
        <v>3</v>
      </c>
      <c r="N18" s="15">
        <v>1</v>
      </c>
      <c r="O18" s="15">
        <f t="shared" si="6"/>
        <v>1</v>
      </c>
      <c r="P18" s="5">
        <f t="shared" si="1"/>
        <v>3</v>
      </c>
      <c r="Q18" s="5" t="str">
        <f t="shared" si="2"/>
        <v>Closed</v>
      </c>
      <c r="R18" s="5">
        <f t="shared" ca="1" si="3"/>
        <v>0</v>
      </c>
      <c r="S18" s="5">
        <v>0</v>
      </c>
      <c r="T18" s="13"/>
      <c r="U18" s="13"/>
      <c r="V18" s="5" t="str">
        <f t="shared" si="4"/>
        <v>Q2</v>
      </c>
    </row>
    <row r="19" spans="1:22" ht="30">
      <c r="A19" s="23">
        <f t="shared" si="5"/>
        <v>18</v>
      </c>
      <c r="B19" s="5" t="s">
        <v>110</v>
      </c>
      <c r="C19" s="5" t="s">
        <v>111</v>
      </c>
      <c r="D19" s="5" t="s">
        <v>24</v>
      </c>
      <c r="E19" s="24" t="s">
        <v>112</v>
      </c>
      <c r="F19" s="24" t="s">
        <v>113</v>
      </c>
      <c r="G19" s="5" t="s">
        <v>105</v>
      </c>
      <c r="H19" s="5" t="s">
        <v>28</v>
      </c>
      <c r="I19" s="5" t="s">
        <v>45</v>
      </c>
      <c r="J19" s="14" t="s">
        <v>114</v>
      </c>
      <c r="K19" s="5" t="s">
        <v>47</v>
      </c>
      <c r="L19" s="16">
        <v>46142</v>
      </c>
      <c r="M19" s="5">
        <f t="shared" si="0"/>
        <v>4</v>
      </c>
      <c r="N19" s="15">
        <v>1</v>
      </c>
      <c r="O19" s="15">
        <f t="shared" si="6"/>
        <v>1</v>
      </c>
      <c r="P19" s="5">
        <f t="shared" si="1"/>
        <v>4</v>
      </c>
      <c r="Q19" s="5" t="str">
        <f t="shared" si="2"/>
        <v>Closed</v>
      </c>
      <c r="R19" s="5">
        <f t="shared" ca="1" si="3"/>
        <v>0</v>
      </c>
      <c r="S19" s="5">
        <v>0</v>
      </c>
      <c r="T19" s="13"/>
      <c r="U19" s="13"/>
      <c r="V19" s="5" t="str">
        <f t="shared" si="4"/>
        <v>Q2</v>
      </c>
    </row>
    <row r="20" spans="1:22" ht="15">
      <c r="A20" s="23">
        <f t="shared" si="5"/>
        <v>19</v>
      </c>
      <c r="B20" s="5" t="s">
        <v>115</v>
      </c>
      <c r="C20" s="5" t="s">
        <v>23</v>
      </c>
      <c r="D20" s="5" t="s">
        <v>24</v>
      </c>
      <c r="E20" s="24" t="s">
        <v>80</v>
      </c>
      <c r="F20" s="24" t="s">
        <v>116</v>
      </c>
      <c r="G20" s="5" t="s">
        <v>67</v>
      </c>
      <c r="H20" s="5"/>
      <c r="I20" s="5" t="s">
        <v>45</v>
      </c>
      <c r="J20" s="14" t="s">
        <v>117</v>
      </c>
      <c r="K20" s="5" t="s">
        <v>61</v>
      </c>
      <c r="L20" s="16">
        <v>46150</v>
      </c>
      <c r="M20" s="5">
        <f t="shared" si="0"/>
        <v>1</v>
      </c>
      <c r="N20" s="15">
        <v>1</v>
      </c>
      <c r="O20" s="15">
        <f t="shared" si="6"/>
        <v>1</v>
      </c>
      <c r="P20" s="5">
        <f t="shared" si="1"/>
        <v>1</v>
      </c>
      <c r="Q20" s="5" t="str">
        <f t="shared" si="2"/>
        <v>Closed</v>
      </c>
      <c r="R20" s="5">
        <f t="shared" ca="1" si="3"/>
        <v>0</v>
      </c>
      <c r="S20" s="5">
        <v>0</v>
      </c>
      <c r="T20" s="13"/>
      <c r="U20" s="13"/>
      <c r="V20" s="5" t="str">
        <f t="shared" si="4"/>
        <v>Q2</v>
      </c>
    </row>
    <row r="21" spans="1:22" ht="28.9">
      <c r="A21" s="23">
        <f t="shared" si="5"/>
        <v>20</v>
      </c>
      <c r="B21" s="5" t="s">
        <v>110</v>
      </c>
      <c r="C21" s="5" t="s">
        <v>49</v>
      </c>
      <c r="D21" s="5" t="s">
        <v>102</v>
      </c>
      <c r="E21" s="24" t="s">
        <v>118</v>
      </c>
      <c r="F21" s="24" t="s">
        <v>119</v>
      </c>
      <c r="G21" s="5" t="s">
        <v>120</v>
      </c>
      <c r="H21" s="5" t="s">
        <v>28</v>
      </c>
      <c r="I21" s="5" t="s">
        <v>45</v>
      </c>
      <c r="J21" s="14" t="s">
        <v>121</v>
      </c>
      <c r="K21" s="5" t="s">
        <v>47</v>
      </c>
      <c r="L21" s="16">
        <v>46150</v>
      </c>
      <c r="M21" s="5">
        <f t="shared" si="0"/>
        <v>4</v>
      </c>
      <c r="N21" s="15">
        <v>1</v>
      </c>
      <c r="O21" s="15">
        <f t="shared" si="6"/>
        <v>1</v>
      </c>
      <c r="P21" s="5">
        <f t="shared" si="1"/>
        <v>4</v>
      </c>
      <c r="Q21" s="5" t="str">
        <f t="shared" si="2"/>
        <v>Closed</v>
      </c>
      <c r="R21" s="5">
        <f t="shared" ca="1" si="3"/>
        <v>0</v>
      </c>
      <c r="S21" s="5">
        <v>0</v>
      </c>
      <c r="T21" s="13"/>
      <c r="U21" s="13"/>
      <c r="V21" s="5" t="str">
        <f t="shared" si="4"/>
        <v>Q2</v>
      </c>
    </row>
    <row r="22" spans="1:22" ht="15">
      <c r="A22" s="23">
        <f>IF(A21="Item #",1,A21+1)</f>
        <v>21</v>
      </c>
      <c r="B22" s="5" t="s">
        <v>110</v>
      </c>
      <c r="C22" s="5" t="s">
        <v>49</v>
      </c>
      <c r="D22" s="5" t="s">
        <v>122</v>
      </c>
      <c r="E22" s="24" t="s">
        <v>118</v>
      </c>
      <c r="F22" s="24" t="s">
        <v>119</v>
      </c>
      <c r="G22" s="5" t="s">
        <v>99</v>
      </c>
      <c r="H22" s="5" t="s">
        <v>28</v>
      </c>
      <c r="I22" s="5" t="s">
        <v>72</v>
      </c>
      <c r="J22" s="14"/>
      <c r="K22" s="5" t="s">
        <v>47</v>
      </c>
      <c r="L22" s="16">
        <v>46199</v>
      </c>
      <c r="M22" s="5">
        <f t="shared" ref="M22:M35" si="7">IF(K22="Critical",4,IF(K22="High",3,IF(K22="Medium",2,IF(K22="Low",1,0))))</f>
        <v>4</v>
      </c>
      <c r="N22" s="15">
        <v>0</v>
      </c>
      <c r="O22" s="15">
        <f t="shared" ref="O22:O35" si="8">IF(N22="",IF(I22="Closed Out",1,IF(I22="Complete",1,IF(I22="Approved",1,IF(I22="Reviewed",1,IF(I22="In Review",0.9,IF(I22="75% Complete",0.75,IF(I22="50% Complete",0.5,IF(I22="25% Complete",0.25,IF(I22="Started",0.25,0))))))))),MAX(IF(I22="Closed Out",1,IF(I22="Complete",1,IF(I22="Approved",1,IF(I22="Reviewed",1,IF(I22="In Review",0.9,IF(I22="75% Complete",0.75,IF(I22="50% Complete",0.5,IF(I22="25% Complete",0.25,IF(I22="Started",0.25,0))))))))),N22))</f>
        <v>0</v>
      </c>
      <c r="P22" s="5">
        <f t="shared" ref="P22:P35" si="9">M22*O22</f>
        <v>0</v>
      </c>
      <c r="Q22" s="5" t="str">
        <f t="shared" ref="Q22:Q35" si="10">IF(OR(I22="Closed Out",I22="Complete",I22="Approved",I22="Reviewed"),"Closed",IF(OR(I22="HOLD",I22="Pause"),"Blocked","Open"))</f>
        <v>Open</v>
      </c>
      <c r="R22" s="5">
        <f t="shared" ref="R22:R35" ca="1" si="11">IF(AND(Q22="Open",ISNUMBER(L22),L22&lt;TODAY()),1,0)</f>
        <v>1</v>
      </c>
      <c r="S22" s="5">
        <v>0</v>
      </c>
      <c r="T22" s="13"/>
      <c r="U22" s="13"/>
      <c r="V22" s="5" t="str">
        <f t="shared" ref="V22:V35" si="12">IF(ISNUMBER(L22),"Q"&amp;ROUNDUP(MONTH(L22)/3,0),IF(LEFT(TRIM(CLEAN(L22)),1)="Q","Q"&amp;VALUE(RIGHT(TRIM(CLEAN(L22)),1)),"No Date"))</f>
        <v>Q2</v>
      </c>
    </row>
    <row r="23" spans="1:22">
      <c r="A23" s="23">
        <f>IF(A22="Item #",1,A22+1)</f>
        <v>22</v>
      </c>
      <c r="B23" s="5" t="s">
        <v>110</v>
      </c>
      <c r="C23" s="5" t="s">
        <v>49</v>
      </c>
      <c r="D23" s="5" t="s">
        <v>123</v>
      </c>
      <c r="E23" s="24" t="s">
        <v>118</v>
      </c>
      <c r="F23" s="24" t="s">
        <v>119</v>
      </c>
      <c r="G23" s="5" t="s">
        <v>120</v>
      </c>
      <c r="H23" s="5" t="s">
        <v>28</v>
      </c>
      <c r="I23" s="5" t="s">
        <v>45</v>
      </c>
      <c r="J23" s="14" t="s">
        <v>124</v>
      </c>
      <c r="K23" s="5" t="s">
        <v>47</v>
      </c>
      <c r="L23" s="16">
        <v>46199</v>
      </c>
      <c r="M23" s="5">
        <f t="shared" si="7"/>
        <v>4</v>
      </c>
      <c r="N23" s="15">
        <v>1</v>
      </c>
      <c r="O23" s="15">
        <f t="shared" si="8"/>
        <v>1</v>
      </c>
      <c r="P23" s="5">
        <f t="shared" si="9"/>
        <v>4</v>
      </c>
      <c r="Q23" s="5" t="str">
        <f t="shared" si="10"/>
        <v>Closed</v>
      </c>
      <c r="R23" s="5">
        <f t="shared" ca="1" si="11"/>
        <v>0</v>
      </c>
      <c r="S23" s="5">
        <v>0</v>
      </c>
      <c r="T23" s="13"/>
      <c r="U23" s="13"/>
      <c r="V23" s="5" t="str">
        <f t="shared" si="12"/>
        <v>Q2</v>
      </c>
    </row>
    <row r="24" spans="1:22" ht="15">
      <c r="A24" s="23">
        <f>IF(A23="Item #",1,A23+1)</f>
        <v>23</v>
      </c>
      <c r="B24" s="5" t="s">
        <v>110</v>
      </c>
      <c r="C24" s="5" t="s">
        <v>49</v>
      </c>
      <c r="D24" s="5" t="s">
        <v>125</v>
      </c>
      <c r="E24" s="24" t="s">
        <v>118</v>
      </c>
      <c r="F24" s="24" t="s">
        <v>119</v>
      </c>
      <c r="G24" s="5" t="s">
        <v>126</v>
      </c>
      <c r="H24" s="5" t="s">
        <v>28</v>
      </c>
      <c r="I24" s="5" t="s">
        <v>45</v>
      </c>
      <c r="J24" s="14"/>
      <c r="K24" s="5" t="s">
        <v>47</v>
      </c>
      <c r="L24" s="16">
        <v>46199</v>
      </c>
      <c r="M24" s="5">
        <f t="shared" si="7"/>
        <v>4</v>
      </c>
      <c r="N24" s="15">
        <v>1</v>
      </c>
      <c r="O24" s="15">
        <f t="shared" si="8"/>
        <v>1</v>
      </c>
      <c r="P24" s="5">
        <f t="shared" si="9"/>
        <v>4</v>
      </c>
      <c r="Q24" s="5" t="str">
        <f t="shared" si="10"/>
        <v>Closed</v>
      </c>
      <c r="R24" s="5">
        <f t="shared" ca="1" si="11"/>
        <v>0</v>
      </c>
      <c r="S24" s="5">
        <v>0</v>
      </c>
      <c r="T24" s="13"/>
      <c r="U24" s="13"/>
      <c r="V24" s="5" t="str">
        <f t="shared" si="12"/>
        <v>Q2</v>
      </c>
    </row>
    <row r="25" spans="1:22" ht="15">
      <c r="A25" s="23">
        <f>IF(A21="Item #",1,A21+1)</f>
        <v>21</v>
      </c>
      <c r="B25" s="5" t="s">
        <v>110</v>
      </c>
      <c r="C25" s="5" t="s">
        <v>49</v>
      </c>
      <c r="D25" s="5" t="s">
        <v>127</v>
      </c>
      <c r="E25" s="24" t="s">
        <v>118</v>
      </c>
      <c r="F25" s="24" t="s">
        <v>119</v>
      </c>
      <c r="G25" s="5" t="s">
        <v>128</v>
      </c>
      <c r="H25" s="5" t="s">
        <v>28</v>
      </c>
      <c r="I25" s="5" t="s">
        <v>45</v>
      </c>
      <c r="J25" s="14" t="s">
        <v>129</v>
      </c>
      <c r="K25" s="5" t="s">
        <v>47</v>
      </c>
      <c r="L25" s="16">
        <v>46199</v>
      </c>
      <c r="M25" s="5">
        <f t="shared" si="7"/>
        <v>4</v>
      </c>
      <c r="N25" s="15">
        <v>1</v>
      </c>
      <c r="O25" s="15">
        <f t="shared" si="8"/>
        <v>1</v>
      </c>
      <c r="P25" s="5">
        <f t="shared" si="9"/>
        <v>4</v>
      </c>
      <c r="Q25" s="5" t="str">
        <f t="shared" si="10"/>
        <v>Closed</v>
      </c>
      <c r="R25" s="5">
        <f t="shared" ca="1" si="11"/>
        <v>0</v>
      </c>
      <c r="S25" s="5">
        <v>0</v>
      </c>
      <c r="T25" s="13"/>
      <c r="U25" s="13"/>
      <c r="V25" s="5" t="str">
        <f t="shared" si="12"/>
        <v>Q2</v>
      </c>
    </row>
    <row r="26" spans="1:22" ht="15">
      <c r="A26" s="23">
        <f>IF(A25="Item #",1,A25+1)</f>
        <v>22</v>
      </c>
      <c r="B26" s="5" t="s">
        <v>110</v>
      </c>
      <c r="C26" s="5" t="s">
        <v>49</v>
      </c>
      <c r="D26" s="5" t="s">
        <v>130</v>
      </c>
      <c r="E26" s="24" t="s">
        <v>118</v>
      </c>
      <c r="F26" s="24" t="s">
        <v>119</v>
      </c>
      <c r="G26" s="5" t="s">
        <v>27</v>
      </c>
      <c r="H26" s="5" t="s">
        <v>28</v>
      </c>
      <c r="I26" s="5" t="s">
        <v>72</v>
      </c>
      <c r="J26" s="14"/>
      <c r="K26" s="5" t="s">
        <v>47</v>
      </c>
      <c r="L26" s="16">
        <v>46199</v>
      </c>
      <c r="M26" s="5">
        <f t="shared" si="7"/>
        <v>4</v>
      </c>
      <c r="N26" s="15">
        <v>0</v>
      </c>
      <c r="O26" s="15">
        <f t="shared" si="8"/>
        <v>0</v>
      </c>
      <c r="P26" s="5">
        <f t="shared" si="9"/>
        <v>0</v>
      </c>
      <c r="Q26" s="5" t="str">
        <f t="shared" si="10"/>
        <v>Open</v>
      </c>
      <c r="R26" s="5">
        <f t="shared" ca="1" si="11"/>
        <v>1</v>
      </c>
      <c r="S26" s="5">
        <v>0</v>
      </c>
      <c r="T26" s="13"/>
      <c r="U26" s="13"/>
      <c r="V26" s="5" t="str">
        <f t="shared" si="12"/>
        <v>Q2</v>
      </c>
    </row>
    <row r="27" spans="1:22" ht="15">
      <c r="A27" s="23">
        <f>IF(A26="Item #",1,A26+1)</f>
        <v>23</v>
      </c>
      <c r="B27" s="5" t="s">
        <v>110</v>
      </c>
      <c r="C27" s="5" t="s">
        <v>49</v>
      </c>
      <c r="D27" s="5" t="s">
        <v>131</v>
      </c>
      <c r="E27" s="24" t="s">
        <v>118</v>
      </c>
      <c r="F27" s="24" t="s">
        <v>119</v>
      </c>
      <c r="G27" s="5" t="s">
        <v>27</v>
      </c>
      <c r="H27" s="5" t="s">
        <v>28</v>
      </c>
      <c r="I27" s="5" t="s">
        <v>72</v>
      </c>
      <c r="J27" s="14"/>
      <c r="K27" s="5" t="s">
        <v>47</v>
      </c>
      <c r="L27" s="16">
        <v>46199</v>
      </c>
      <c r="M27" s="5">
        <f t="shared" si="7"/>
        <v>4</v>
      </c>
      <c r="N27" s="15">
        <v>0</v>
      </c>
      <c r="O27" s="15">
        <f t="shared" si="8"/>
        <v>0</v>
      </c>
      <c r="P27" s="5">
        <f t="shared" si="9"/>
        <v>0</v>
      </c>
      <c r="Q27" s="5" t="str">
        <f t="shared" si="10"/>
        <v>Open</v>
      </c>
      <c r="R27" s="5">
        <f t="shared" ca="1" si="11"/>
        <v>1</v>
      </c>
      <c r="S27" s="5">
        <v>0</v>
      </c>
      <c r="T27" s="13"/>
      <c r="U27" s="13"/>
      <c r="V27" s="5" t="str">
        <f t="shared" si="12"/>
        <v>Q2</v>
      </c>
    </row>
    <row r="28" spans="1:22" ht="15">
      <c r="A28" s="23">
        <f>IF(A27="Item #",1,A27+1)</f>
        <v>24</v>
      </c>
      <c r="B28" s="5" t="s">
        <v>110</v>
      </c>
      <c r="C28" s="5" t="s">
        <v>49</v>
      </c>
      <c r="D28" s="5" t="s">
        <v>132</v>
      </c>
      <c r="E28" s="24" t="s">
        <v>118</v>
      </c>
      <c r="F28" s="24" t="s">
        <v>119</v>
      </c>
      <c r="G28" s="5" t="s">
        <v>128</v>
      </c>
      <c r="H28" s="5" t="s">
        <v>28</v>
      </c>
      <c r="I28" s="5" t="s">
        <v>45</v>
      </c>
      <c r="J28" s="14" t="s">
        <v>129</v>
      </c>
      <c r="K28" s="5" t="s">
        <v>47</v>
      </c>
      <c r="L28" s="16">
        <v>46199</v>
      </c>
      <c r="M28" s="5">
        <f t="shared" si="7"/>
        <v>4</v>
      </c>
      <c r="N28" s="15">
        <v>1</v>
      </c>
      <c r="O28" s="15">
        <f t="shared" si="8"/>
        <v>1</v>
      </c>
      <c r="P28" s="5">
        <f t="shared" si="9"/>
        <v>4</v>
      </c>
      <c r="Q28" s="5" t="str">
        <f t="shared" si="10"/>
        <v>Closed</v>
      </c>
      <c r="R28" s="5">
        <f t="shared" ca="1" si="11"/>
        <v>0</v>
      </c>
      <c r="S28" s="5">
        <v>0</v>
      </c>
      <c r="T28" s="13"/>
      <c r="U28" s="13"/>
      <c r="V28" s="5" t="str">
        <f t="shared" si="12"/>
        <v>Q2</v>
      </c>
    </row>
    <row r="29" spans="1:22" ht="15">
      <c r="A29" s="23">
        <f>IF(A28="Item #",1,A28+1)</f>
        <v>25</v>
      </c>
      <c r="B29" s="5" t="s">
        <v>110</v>
      </c>
      <c r="C29" s="5" t="s">
        <v>49</v>
      </c>
      <c r="D29" s="5" t="s">
        <v>133</v>
      </c>
      <c r="E29" s="24" t="s">
        <v>118</v>
      </c>
      <c r="F29" s="24" t="s">
        <v>119</v>
      </c>
      <c r="G29" s="5" t="s">
        <v>76</v>
      </c>
      <c r="H29" s="5" t="s">
        <v>28</v>
      </c>
      <c r="I29" s="5" t="s">
        <v>45</v>
      </c>
      <c r="J29" s="14"/>
      <c r="K29" s="5" t="s">
        <v>47</v>
      </c>
      <c r="L29" s="16">
        <v>46199</v>
      </c>
      <c r="M29" s="5">
        <f t="shared" si="7"/>
        <v>4</v>
      </c>
      <c r="N29" s="15">
        <v>1</v>
      </c>
      <c r="O29" s="15">
        <f t="shared" si="8"/>
        <v>1</v>
      </c>
      <c r="P29" s="5">
        <f t="shared" si="9"/>
        <v>4</v>
      </c>
      <c r="Q29" s="5" t="str">
        <f t="shared" si="10"/>
        <v>Closed</v>
      </c>
      <c r="R29" s="5">
        <f t="shared" ca="1" si="11"/>
        <v>0</v>
      </c>
      <c r="S29" s="5">
        <v>0</v>
      </c>
      <c r="T29" s="13"/>
      <c r="U29" s="13"/>
      <c r="V29" s="5" t="str">
        <f t="shared" si="12"/>
        <v>Q2</v>
      </c>
    </row>
    <row r="30" spans="1:22" ht="15">
      <c r="A30" s="23">
        <f>IF(A21="Item #",1,A21+1)</f>
        <v>21</v>
      </c>
      <c r="B30" s="5" t="s">
        <v>110</v>
      </c>
      <c r="C30" s="5" t="s">
        <v>49</v>
      </c>
      <c r="D30" s="5" t="s">
        <v>134</v>
      </c>
      <c r="E30" s="24" t="s">
        <v>118</v>
      </c>
      <c r="F30" s="24" t="s">
        <v>119</v>
      </c>
      <c r="G30" s="5" t="s">
        <v>76</v>
      </c>
      <c r="H30" s="5" t="s">
        <v>28</v>
      </c>
      <c r="I30" s="5" t="s">
        <v>45</v>
      </c>
      <c r="J30" s="14"/>
      <c r="K30" s="5" t="s">
        <v>47</v>
      </c>
      <c r="L30" s="16">
        <v>46199</v>
      </c>
      <c r="M30" s="5">
        <f t="shared" si="7"/>
        <v>4</v>
      </c>
      <c r="N30" s="15">
        <v>1</v>
      </c>
      <c r="O30" s="15">
        <f t="shared" si="8"/>
        <v>1</v>
      </c>
      <c r="P30" s="5">
        <f t="shared" si="9"/>
        <v>4</v>
      </c>
      <c r="Q30" s="5" t="str">
        <f t="shared" si="10"/>
        <v>Closed</v>
      </c>
      <c r="R30" s="5">
        <f t="shared" ca="1" si="11"/>
        <v>0</v>
      </c>
      <c r="S30" s="5">
        <v>0</v>
      </c>
      <c r="T30" s="13"/>
      <c r="U30" s="13"/>
      <c r="V30" s="5" t="str">
        <f t="shared" si="12"/>
        <v>Q2</v>
      </c>
    </row>
    <row r="31" spans="1:22" ht="15">
      <c r="A31" s="23">
        <f>IF(A30="Item #",1,A30+1)</f>
        <v>22</v>
      </c>
      <c r="B31" s="5" t="s">
        <v>110</v>
      </c>
      <c r="C31" s="5" t="s">
        <v>49</v>
      </c>
      <c r="D31" s="5" t="s">
        <v>135</v>
      </c>
      <c r="E31" s="24" t="s">
        <v>118</v>
      </c>
      <c r="F31" s="24" t="s">
        <v>119</v>
      </c>
      <c r="G31" s="5" t="s">
        <v>67</v>
      </c>
      <c r="H31" s="5" t="s">
        <v>28</v>
      </c>
      <c r="I31" s="5" t="s">
        <v>45</v>
      </c>
      <c r="J31" s="14"/>
      <c r="K31" s="5" t="s">
        <v>47</v>
      </c>
      <c r="L31" s="16">
        <v>46199</v>
      </c>
      <c r="M31" s="5">
        <f t="shared" si="7"/>
        <v>4</v>
      </c>
      <c r="N31" s="15">
        <v>1</v>
      </c>
      <c r="O31" s="15">
        <f t="shared" si="8"/>
        <v>1</v>
      </c>
      <c r="P31" s="5">
        <f t="shared" si="9"/>
        <v>4</v>
      </c>
      <c r="Q31" s="5" t="str">
        <f t="shared" si="10"/>
        <v>Closed</v>
      </c>
      <c r="R31" s="5">
        <f t="shared" ca="1" si="11"/>
        <v>0</v>
      </c>
      <c r="S31" s="5">
        <v>0</v>
      </c>
      <c r="T31" s="13"/>
      <c r="U31" s="13"/>
      <c r="V31" s="5" t="str">
        <f t="shared" si="12"/>
        <v>Q2</v>
      </c>
    </row>
    <row r="32" spans="1:22" ht="15">
      <c r="A32" s="23">
        <f>IF(A31="Item #",1,A31+1)</f>
        <v>23</v>
      </c>
      <c r="B32" s="5" t="s">
        <v>110</v>
      </c>
      <c r="C32" s="5" t="s">
        <v>49</v>
      </c>
      <c r="D32" s="5" t="s">
        <v>136</v>
      </c>
      <c r="E32" s="24" t="s">
        <v>118</v>
      </c>
      <c r="F32" s="24" t="s">
        <v>119</v>
      </c>
      <c r="G32" s="5" t="s">
        <v>137</v>
      </c>
      <c r="H32" s="5" t="s">
        <v>28</v>
      </c>
      <c r="I32" s="5" t="s">
        <v>45</v>
      </c>
      <c r="J32" s="14" t="s">
        <v>138</v>
      </c>
      <c r="K32" s="5" t="s">
        <v>47</v>
      </c>
      <c r="L32" s="16">
        <v>46150</v>
      </c>
      <c r="M32" s="5">
        <f t="shared" si="7"/>
        <v>4</v>
      </c>
      <c r="N32" s="15">
        <v>1</v>
      </c>
      <c r="O32" s="15">
        <f t="shared" si="8"/>
        <v>1</v>
      </c>
      <c r="P32" s="5">
        <f t="shared" si="9"/>
        <v>4</v>
      </c>
      <c r="Q32" s="5" t="str">
        <f t="shared" si="10"/>
        <v>Closed</v>
      </c>
      <c r="R32" s="5">
        <f t="shared" ca="1" si="11"/>
        <v>0</v>
      </c>
      <c r="S32" s="5">
        <v>0</v>
      </c>
      <c r="T32" s="13"/>
      <c r="U32" s="13"/>
      <c r="V32" s="5" t="str">
        <f t="shared" si="12"/>
        <v>Q2</v>
      </c>
    </row>
    <row r="33" spans="1:22" ht="15">
      <c r="A33" s="23">
        <f>IF(A32="Item #",1,A32+1)</f>
        <v>24</v>
      </c>
      <c r="B33" s="5" t="s">
        <v>110</v>
      </c>
      <c r="C33" s="5" t="s">
        <v>49</v>
      </c>
      <c r="D33" s="5" t="s">
        <v>139</v>
      </c>
      <c r="E33" s="24" t="s">
        <v>118</v>
      </c>
      <c r="F33" s="24" t="s">
        <v>119</v>
      </c>
      <c r="G33" s="5" t="s">
        <v>137</v>
      </c>
      <c r="H33" s="5" t="s">
        <v>28</v>
      </c>
      <c r="I33" s="5" t="s">
        <v>45</v>
      </c>
      <c r="J33" s="14" t="s">
        <v>138</v>
      </c>
      <c r="K33" s="5" t="s">
        <v>47</v>
      </c>
      <c r="L33" s="16">
        <v>46150</v>
      </c>
      <c r="M33" s="5">
        <f t="shared" si="7"/>
        <v>4</v>
      </c>
      <c r="N33" s="15">
        <v>1</v>
      </c>
      <c r="O33" s="15">
        <f t="shared" si="8"/>
        <v>1</v>
      </c>
      <c r="P33" s="5">
        <f t="shared" si="9"/>
        <v>4</v>
      </c>
      <c r="Q33" s="5" t="str">
        <f t="shared" si="10"/>
        <v>Closed</v>
      </c>
      <c r="R33" s="5">
        <f t="shared" ca="1" si="11"/>
        <v>0</v>
      </c>
      <c r="S33" s="5">
        <v>0</v>
      </c>
      <c r="T33" s="13"/>
      <c r="U33" s="13"/>
      <c r="V33" s="5" t="str">
        <f t="shared" si="12"/>
        <v>Q2</v>
      </c>
    </row>
    <row r="34" spans="1:22" ht="15">
      <c r="A34" s="23">
        <f>IF(A33="Item #",1,A33+1)</f>
        <v>25</v>
      </c>
      <c r="B34" s="5" t="s">
        <v>110</v>
      </c>
      <c r="C34" s="5" t="s">
        <v>49</v>
      </c>
      <c r="D34" s="5" t="s">
        <v>140</v>
      </c>
      <c r="E34" s="24" t="s">
        <v>118</v>
      </c>
      <c r="F34" s="24" t="s">
        <v>141</v>
      </c>
      <c r="G34" s="5" t="s">
        <v>142</v>
      </c>
      <c r="H34" s="5" t="s">
        <v>105</v>
      </c>
      <c r="I34" s="5" t="s">
        <v>72</v>
      </c>
      <c r="J34" s="14"/>
      <c r="K34" s="5" t="s">
        <v>47</v>
      </c>
      <c r="L34" s="16" t="s">
        <v>143</v>
      </c>
      <c r="M34" s="5">
        <f t="shared" si="7"/>
        <v>4</v>
      </c>
      <c r="N34" s="15">
        <v>0</v>
      </c>
      <c r="O34" s="15">
        <f t="shared" si="8"/>
        <v>0</v>
      </c>
      <c r="P34" s="5">
        <f t="shared" si="9"/>
        <v>0</v>
      </c>
      <c r="Q34" s="5" t="str">
        <f t="shared" si="10"/>
        <v>Open</v>
      </c>
      <c r="R34" s="5">
        <f t="shared" ca="1" si="11"/>
        <v>0</v>
      </c>
      <c r="S34" s="5">
        <v>0</v>
      </c>
      <c r="T34" s="13"/>
      <c r="U34" s="13"/>
      <c r="V34" s="5" t="str">
        <f t="shared" si="12"/>
        <v>Q2</v>
      </c>
    </row>
    <row r="35" spans="1:22" ht="30">
      <c r="A35" s="23">
        <f>IF(A21="Item #",1,A21+1)</f>
        <v>21</v>
      </c>
      <c r="B35" s="5" t="s">
        <v>110</v>
      </c>
      <c r="C35" s="5" t="s">
        <v>49</v>
      </c>
      <c r="D35" s="5" t="s">
        <v>144</v>
      </c>
      <c r="E35" s="24" t="s">
        <v>118</v>
      </c>
      <c r="F35" s="24" t="s">
        <v>141</v>
      </c>
      <c r="G35" s="5" t="s">
        <v>142</v>
      </c>
      <c r="H35" s="5" t="s">
        <v>105</v>
      </c>
      <c r="I35" s="5" t="s">
        <v>45</v>
      </c>
      <c r="J35" s="14" t="s">
        <v>145</v>
      </c>
      <c r="K35" s="5" t="s">
        <v>47</v>
      </c>
      <c r="L35" s="16" t="s">
        <v>143</v>
      </c>
      <c r="M35" s="5">
        <f t="shared" si="7"/>
        <v>4</v>
      </c>
      <c r="N35" s="15">
        <v>1</v>
      </c>
      <c r="O35" s="15">
        <f t="shared" si="8"/>
        <v>1</v>
      </c>
      <c r="P35" s="5">
        <f t="shared" si="9"/>
        <v>4</v>
      </c>
      <c r="Q35" s="5" t="str">
        <f t="shared" si="10"/>
        <v>Closed</v>
      </c>
      <c r="R35" s="5">
        <f t="shared" ca="1" si="11"/>
        <v>0</v>
      </c>
      <c r="S35" s="5">
        <v>0</v>
      </c>
      <c r="T35" s="13"/>
      <c r="U35" s="13"/>
      <c r="V35" s="5" t="str">
        <f t="shared" si="12"/>
        <v>Q2</v>
      </c>
    </row>
    <row r="36" spans="1:22" ht="28.9">
      <c r="A36" s="23">
        <f>IF(A21="Item #",1,A21+1)</f>
        <v>21</v>
      </c>
      <c r="B36" s="5" t="s">
        <v>22</v>
      </c>
      <c r="C36" s="5" t="s">
        <v>49</v>
      </c>
      <c r="D36" s="5" t="s">
        <v>125</v>
      </c>
      <c r="E36" s="24" t="s">
        <v>103</v>
      </c>
      <c r="F36" s="24" t="s">
        <v>146</v>
      </c>
      <c r="G36" s="5" t="s">
        <v>120</v>
      </c>
      <c r="H36" s="5" t="s">
        <v>28</v>
      </c>
      <c r="I36" s="5" t="s">
        <v>147</v>
      </c>
      <c r="J36" s="14" t="s">
        <v>148</v>
      </c>
      <c r="K36" s="5" t="s">
        <v>31</v>
      </c>
      <c r="L36" s="13" t="s">
        <v>69</v>
      </c>
      <c r="M36" s="5">
        <f t="shared" si="0"/>
        <v>3</v>
      </c>
      <c r="N36" s="15">
        <v>0.3</v>
      </c>
      <c r="O36" s="15">
        <f t="shared" si="6"/>
        <v>0.3</v>
      </c>
      <c r="P36" s="5">
        <f t="shared" si="1"/>
        <v>0.89999999999999991</v>
      </c>
      <c r="Q36" s="5" t="str">
        <f t="shared" si="2"/>
        <v>Open</v>
      </c>
      <c r="R36" s="5">
        <f t="shared" ca="1" si="3"/>
        <v>0</v>
      </c>
      <c r="S36" s="5">
        <v>0</v>
      </c>
      <c r="T36" s="13"/>
      <c r="U36" s="13"/>
      <c r="V36" s="5" t="str">
        <f t="shared" si="4"/>
        <v>Q3</v>
      </c>
    </row>
    <row r="37" spans="1:22" ht="30">
      <c r="A37" s="23">
        <f t="shared" si="5"/>
        <v>22</v>
      </c>
      <c r="B37" s="5" t="s">
        <v>22</v>
      </c>
      <c r="C37" s="5" t="s">
        <v>49</v>
      </c>
      <c r="D37" s="5" t="s">
        <v>149</v>
      </c>
      <c r="E37" s="24" t="s">
        <v>103</v>
      </c>
      <c r="F37" s="24" t="s">
        <v>146</v>
      </c>
      <c r="G37" s="5" t="s">
        <v>150</v>
      </c>
      <c r="H37" s="5"/>
      <c r="I37" s="5" t="s">
        <v>37</v>
      </c>
      <c r="J37" s="14" t="s">
        <v>151</v>
      </c>
      <c r="K37" s="5" t="s">
        <v>31</v>
      </c>
      <c r="L37" s="13"/>
      <c r="M37" s="5">
        <f t="shared" si="0"/>
        <v>3</v>
      </c>
      <c r="N37" s="15">
        <v>0</v>
      </c>
      <c r="O37" s="15">
        <f t="shared" si="6"/>
        <v>0</v>
      </c>
      <c r="P37" s="5">
        <f t="shared" si="1"/>
        <v>0</v>
      </c>
      <c r="Q37" s="5" t="str">
        <f t="shared" si="2"/>
        <v>Blocked</v>
      </c>
      <c r="R37" s="5">
        <f t="shared" ca="1" si="3"/>
        <v>0</v>
      </c>
      <c r="S37" s="5">
        <v>0</v>
      </c>
      <c r="T37" s="13"/>
      <c r="U37" s="13"/>
      <c r="V37" s="5" t="str">
        <f t="shared" si="4"/>
        <v>No Date</v>
      </c>
    </row>
    <row r="38" spans="1:22" ht="30">
      <c r="A38" s="23">
        <f t="shared" si="5"/>
        <v>23</v>
      </c>
      <c r="B38" s="5" t="s">
        <v>22</v>
      </c>
      <c r="C38" s="5" t="s">
        <v>49</v>
      </c>
      <c r="D38" s="5" t="s">
        <v>152</v>
      </c>
      <c r="E38" s="24" t="s">
        <v>103</v>
      </c>
      <c r="F38" s="24" t="s">
        <v>146</v>
      </c>
      <c r="G38" s="5" t="s">
        <v>150</v>
      </c>
      <c r="H38" s="5"/>
      <c r="I38" s="5" t="s">
        <v>37</v>
      </c>
      <c r="J38" s="14" t="s">
        <v>151</v>
      </c>
      <c r="K38" s="5" t="s">
        <v>31</v>
      </c>
      <c r="L38" s="13"/>
      <c r="M38" s="5">
        <f t="shared" si="0"/>
        <v>3</v>
      </c>
      <c r="N38" s="15">
        <v>0</v>
      </c>
      <c r="O38" s="15">
        <f t="shared" si="6"/>
        <v>0</v>
      </c>
      <c r="P38" s="5">
        <f t="shared" si="1"/>
        <v>0</v>
      </c>
      <c r="Q38" s="5" t="str">
        <f t="shared" si="2"/>
        <v>Blocked</v>
      </c>
      <c r="R38" s="5">
        <f t="shared" ca="1" si="3"/>
        <v>0</v>
      </c>
      <c r="S38" s="5">
        <v>0</v>
      </c>
      <c r="T38" s="13"/>
      <c r="U38" s="13"/>
      <c r="V38" s="5" t="str">
        <f t="shared" si="4"/>
        <v>No Date</v>
      </c>
    </row>
    <row r="39" spans="1:22" ht="30">
      <c r="A39" s="23">
        <f t="shared" si="5"/>
        <v>24</v>
      </c>
      <c r="B39" s="5" t="s">
        <v>22</v>
      </c>
      <c r="C39" s="5" t="s">
        <v>49</v>
      </c>
      <c r="D39" s="5" t="s">
        <v>153</v>
      </c>
      <c r="E39" s="24" t="s">
        <v>103</v>
      </c>
      <c r="F39" s="24" t="s">
        <v>146</v>
      </c>
      <c r="G39" s="5" t="s">
        <v>150</v>
      </c>
      <c r="H39" s="5"/>
      <c r="I39" s="5" t="s">
        <v>37</v>
      </c>
      <c r="J39" s="14" t="s">
        <v>151</v>
      </c>
      <c r="K39" s="5" t="s">
        <v>31</v>
      </c>
      <c r="L39" s="13"/>
      <c r="M39" s="5">
        <f t="shared" si="0"/>
        <v>3</v>
      </c>
      <c r="N39" s="15">
        <v>0</v>
      </c>
      <c r="O39" s="15">
        <f t="shared" si="6"/>
        <v>0</v>
      </c>
      <c r="P39" s="5">
        <f t="shared" si="1"/>
        <v>0</v>
      </c>
      <c r="Q39" s="5" t="str">
        <f t="shared" si="2"/>
        <v>Blocked</v>
      </c>
      <c r="R39" s="5">
        <f t="shared" ca="1" si="3"/>
        <v>0</v>
      </c>
      <c r="S39" s="5">
        <v>0</v>
      </c>
      <c r="T39" s="13"/>
      <c r="U39" s="13"/>
      <c r="V39" s="5" t="str">
        <f t="shared" si="4"/>
        <v>No Date</v>
      </c>
    </row>
    <row r="40" spans="1:22" ht="30">
      <c r="A40" s="23">
        <f t="shared" si="5"/>
        <v>25</v>
      </c>
      <c r="B40" s="5" t="s">
        <v>22</v>
      </c>
      <c r="C40" s="5" t="s">
        <v>49</v>
      </c>
      <c r="D40" s="5" t="s">
        <v>154</v>
      </c>
      <c r="E40" s="24" t="s">
        <v>103</v>
      </c>
      <c r="F40" s="24" t="s">
        <v>146</v>
      </c>
      <c r="G40" s="5" t="s">
        <v>150</v>
      </c>
      <c r="H40" s="5"/>
      <c r="I40" s="5" t="s">
        <v>37</v>
      </c>
      <c r="J40" s="14" t="s">
        <v>151</v>
      </c>
      <c r="K40" s="5" t="s">
        <v>31</v>
      </c>
      <c r="L40" s="13"/>
      <c r="M40" s="5">
        <f t="shared" si="0"/>
        <v>3</v>
      </c>
      <c r="N40" s="15">
        <v>0</v>
      </c>
      <c r="O40" s="15">
        <f t="shared" si="6"/>
        <v>0</v>
      </c>
      <c r="P40" s="5">
        <f t="shared" si="1"/>
        <v>0</v>
      </c>
      <c r="Q40" s="5" t="str">
        <f t="shared" si="2"/>
        <v>Blocked</v>
      </c>
      <c r="R40" s="5">
        <f t="shared" ca="1" si="3"/>
        <v>0</v>
      </c>
      <c r="S40" s="5">
        <v>0</v>
      </c>
      <c r="T40" s="13"/>
      <c r="U40" s="13"/>
      <c r="V40" s="5" t="str">
        <f t="shared" si="4"/>
        <v>No Date</v>
      </c>
    </row>
    <row r="41" spans="1:22" ht="30">
      <c r="A41" s="23">
        <f t="shared" si="5"/>
        <v>26</v>
      </c>
      <c r="B41" s="5" t="s">
        <v>22</v>
      </c>
      <c r="C41" s="5" t="s">
        <v>49</v>
      </c>
      <c r="D41" s="5" t="s">
        <v>127</v>
      </c>
      <c r="E41" s="24" t="s">
        <v>103</v>
      </c>
      <c r="F41" s="24" t="s">
        <v>146</v>
      </c>
      <c r="G41" s="5" t="s">
        <v>150</v>
      </c>
      <c r="H41" s="5"/>
      <c r="I41" s="5" t="s">
        <v>37</v>
      </c>
      <c r="J41" s="14" t="s">
        <v>151</v>
      </c>
      <c r="K41" s="5" t="s">
        <v>31</v>
      </c>
      <c r="L41" s="13"/>
      <c r="M41" s="5">
        <f t="shared" si="0"/>
        <v>3</v>
      </c>
      <c r="N41" s="15">
        <v>0</v>
      </c>
      <c r="O41" s="15">
        <f t="shared" si="6"/>
        <v>0</v>
      </c>
      <c r="P41" s="5">
        <f t="shared" si="1"/>
        <v>0</v>
      </c>
      <c r="Q41" s="5" t="str">
        <f t="shared" si="2"/>
        <v>Blocked</v>
      </c>
      <c r="R41" s="5">
        <f t="shared" ca="1" si="3"/>
        <v>0</v>
      </c>
      <c r="S41" s="5">
        <v>0</v>
      </c>
      <c r="T41" s="13"/>
      <c r="U41" s="13"/>
      <c r="V41" s="5" t="str">
        <f t="shared" si="4"/>
        <v>No Date</v>
      </c>
    </row>
    <row r="42" spans="1:22" ht="105">
      <c r="A42" s="23">
        <f t="shared" si="5"/>
        <v>27</v>
      </c>
      <c r="B42" s="5" t="s">
        <v>22</v>
      </c>
      <c r="C42" s="5" t="s">
        <v>49</v>
      </c>
      <c r="D42" s="5" t="s">
        <v>130</v>
      </c>
      <c r="E42" s="24" t="s">
        <v>103</v>
      </c>
      <c r="F42" s="24" t="s">
        <v>146</v>
      </c>
      <c r="G42" s="5" t="s">
        <v>137</v>
      </c>
      <c r="H42" s="5"/>
      <c r="I42" s="5" t="s">
        <v>37</v>
      </c>
      <c r="J42" s="35" t="s">
        <v>155</v>
      </c>
      <c r="K42" s="5" t="s">
        <v>31</v>
      </c>
      <c r="L42" s="13"/>
      <c r="M42" s="5">
        <f t="shared" si="0"/>
        <v>3</v>
      </c>
      <c r="N42" s="15">
        <v>0.2</v>
      </c>
      <c r="O42" s="15">
        <f t="shared" si="6"/>
        <v>0.2</v>
      </c>
      <c r="P42" s="5">
        <f t="shared" si="1"/>
        <v>0.60000000000000009</v>
      </c>
      <c r="Q42" s="5" t="str">
        <f t="shared" si="2"/>
        <v>Blocked</v>
      </c>
      <c r="R42" s="5">
        <f t="shared" ca="1" si="3"/>
        <v>0</v>
      </c>
      <c r="S42" s="5">
        <v>0</v>
      </c>
      <c r="T42" s="13"/>
      <c r="U42" s="13"/>
      <c r="V42" s="5" t="str">
        <f t="shared" si="4"/>
        <v>No Date</v>
      </c>
    </row>
    <row r="43" spans="1:22" ht="30">
      <c r="A43" s="23">
        <f t="shared" si="5"/>
        <v>28</v>
      </c>
      <c r="B43" s="5" t="s">
        <v>22</v>
      </c>
      <c r="C43" s="5" t="s">
        <v>49</v>
      </c>
      <c r="D43" s="5" t="s">
        <v>156</v>
      </c>
      <c r="E43" s="24" t="s">
        <v>103</v>
      </c>
      <c r="F43" s="24" t="s">
        <v>146</v>
      </c>
      <c r="G43" s="5" t="s">
        <v>150</v>
      </c>
      <c r="H43" s="5"/>
      <c r="I43" s="5" t="s">
        <v>37</v>
      </c>
      <c r="J43" s="14" t="s">
        <v>151</v>
      </c>
      <c r="K43" s="5" t="s">
        <v>31</v>
      </c>
      <c r="L43" s="13"/>
      <c r="M43" s="5">
        <f t="shared" si="0"/>
        <v>3</v>
      </c>
      <c r="N43" s="15">
        <v>0</v>
      </c>
      <c r="O43" s="15">
        <f t="shared" si="6"/>
        <v>0</v>
      </c>
      <c r="P43" s="5">
        <f t="shared" si="1"/>
        <v>0</v>
      </c>
      <c r="Q43" s="5" t="str">
        <f t="shared" si="2"/>
        <v>Blocked</v>
      </c>
      <c r="R43" s="5">
        <f t="shared" ca="1" si="3"/>
        <v>0</v>
      </c>
      <c r="S43" s="5">
        <v>0</v>
      </c>
      <c r="T43" s="13"/>
      <c r="U43" s="13"/>
      <c r="V43" s="5" t="str">
        <f t="shared" si="4"/>
        <v>No Date</v>
      </c>
    </row>
    <row r="44" spans="1:22" ht="30">
      <c r="A44" s="23">
        <f t="shared" si="5"/>
        <v>29</v>
      </c>
      <c r="B44" s="5" t="s">
        <v>22</v>
      </c>
      <c r="C44" s="5" t="s">
        <v>49</v>
      </c>
      <c r="D44" s="5" t="s">
        <v>157</v>
      </c>
      <c r="E44" s="24" t="s">
        <v>103</v>
      </c>
      <c r="F44" s="24" t="s">
        <v>146</v>
      </c>
      <c r="G44" s="5" t="s">
        <v>150</v>
      </c>
      <c r="H44" s="5"/>
      <c r="I44" s="5" t="s">
        <v>37</v>
      </c>
      <c r="J44" s="14" t="s">
        <v>151</v>
      </c>
      <c r="K44" s="5" t="s">
        <v>31</v>
      </c>
      <c r="L44" s="13"/>
      <c r="M44" s="5">
        <f t="shared" si="0"/>
        <v>3</v>
      </c>
      <c r="N44" s="15">
        <v>0</v>
      </c>
      <c r="O44" s="15">
        <f t="shared" si="6"/>
        <v>0</v>
      </c>
      <c r="P44" s="5">
        <f t="shared" si="1"/>
        <v>0</v>
      </c>
      <c r="Q44" s="5" t="str">
        <f t="shared" si="2"/>
        <v>Blocked</v>
      </c>
      <c r="R44" s="5">
        <f t="shared" ca="1" si="3"/>
        <v>0</v>
      </c>
      <c r="S44" s="5">
        <v>0</v>
      </c>
      <c r="T44" s="13"/>
      <c r="U44" s="13"/>
      <c r="V44" s="5" t="str">
        <f t="shared" si="4"/>
        <v>No Date</v>
      </c>
    </row>
    <row r="45" spans="1:22" ht="30">
      <c r="A45" s="23">
        <f t="shared" si="5"/>
        <v>30</v>
      </c>
      <c r="B45" s="5" t="s">
        <v>22</v>
      </c>
      <c r="C45" s="5" t="s">
        <v>49</v>
      </c>
      <c r="D45" s="5" t="s">
        <v>132</v>
      </c>
      <c r="E45" s="24" t="s">
        <v>103</v>
      </c>
      <c r="F45" s="24" t="s">
        <v>146</v>
      </c>
      <c r="G45" s="5" t="s">
        <v>150</v>
      </c>
      <c r="H45" s="5"/>
      <c r="I45" s="5" t="s">
        <v>37</v>
      </c>
      <c r="J45" s="14" t="s">
        <v>151</v>
      </c>
      <c r="K45" s="5" t="s">
        <v>31</v>
      </c>
      <c r="L45" s="13"/>
      <c r="M45" s="5">
        <f t="shared" si="0"/>
        <v>3</v>
      </c>
      <c r="N45" s="15">
        <v>0</v>
      </c>
      <c r="O45" s="15">
        <f t="shared" si="6"/>
        <v>0</v>
      </c>
      <c r="P45" s="5">
        <f t="shared" si="1"/>
        <v>0</v>
      </c>
      <c r="Q45" s="5" t="str">
        <f t="shared" si="2"/>
        <v>Blocked</v>
      </c>
      <c r="R45" s="5">
        <f t="shared" ca="1" si="3"/>
        <v>0</v>
      </c>
      <c r="S45" s="5">
        <v>0</v>
      </c>
      <c r="T45" s="13"/>
      <c r="U45" s="13"/>
      <c r="V45" s="5" t="str">
        <f t="shared" si="4"/>
        <v>No Date</v>
      </c>
    </row>
    <row r="46" spans="1:22" ht="30">
      <c r="A46" s="23">
        <f t="shared" si="5"/>
        <v>31</v>
      </c>
      <c r="B46" s="5" t="s">
        <v>22</v>
      </c>
      <c r="C46" s="5" t="s">
        <v>49</v>
      </c>
      <c r="D46" s="5" t="s">
        <v>96</v>
      </c>
      <c r="E46" s="24" t="s">
        <v>103</v>
      </c>
      <c r="F46" s="24" t="s">
        <v>146</v>
      </c>
      <c r="G46" s="5" t="s">
        <v>150</v>
      </c>
      <c r="H46" s="5"/>
      <c r="I46" s="5" t="s">
        <v>37</v>
      </c>
      <c r="J46" s="14" t="s">
        <v>151</v>
      </c>
      <c r="K46" s="5" t="s">
        <v>31</v>
      </c>
      <c r="L46" s="13"/>
      <c r="M46" s="5">
        <f t="shared" si="0"/>
        <v>3</v>
      </c>
      <c r="N46" s="15">
        <v>0</v>
      </c>
      <c r="O46" s="15">
        <f t="shared" si="6"/>
        <v>0</v>
      </c>
      <c r="P46" s="5">
        <f t="shared" si="1"/>
        <v>0</v>
      </c>
      <c r="Q46" s="5" t="str">
        <f t="shared" si="2"/>
        <v>Blocked</v>
      </c>
      <c r="R46" s="5">
        <f t="shared" ca="1" si="3"/>
        <v>0</v>
      </c>
      <c r="S46" s="5">
        <v>0</v>
      </c>
      <c r="T46" s="13"/>
      <c r="U46" s="13"/>
      <c r="V46" s="5" t="str">
        <f t="shared" si="4"/>
        <v>No Date</v>
      </c>
    </row>
    <row r="47" spans="1:22" ht="30">
      <c r="A47" s="23">
        <f t="shared" si="5"/>
        <v>32</v>
      </c>
      <c r="B47" s="5" t="s">
        <v>110</v>
      </c>
      <c r="C47" s="5" t="s">
        <v>23</v>
      </c>
      <c r="D47" s="5" t="s">
        <v>70</v>
      </c>
      <c r="E47" s="24" t="s">
        <v>118</v>
      </c>
      <c r="F47" s="24" t="s">
        <v>158</v>
      </c>
      <c r="G47" s="5" t="s">
        <v>28</v>
      </c>
      <c r="H47" s="5"/>
      <c r="I47" s="5" t="s">
        <v>45</v>
      </c>
      <c r="J47" s="14" t="s">
        <v>159</v>
      </c>
      <c r="K47" s="5" t="s">
        <v>47</v>
      </c>
      <c r="L47" s="16">
        <v>46150</v>
      </c>
      <c r="M47" s="5">
        <f t="shared" si="0"/>
        <v>4</v>
      </c>
      <c r="N47" s="15">
        <v>1</v>
      </c>
      <c r="O47" s="15">
        <f t="shared" si="6"/>
        <v>1</v>
      </c>
      <c r="P47" s="5">
        <f t="shared" si="1"/>
        <v>4</v>
      </c>
      <c r="Q47" s="5" t="str">
        <f t="shared" si="2"/>
        <v>Closed</v>
      </c>
      <c r="R47" s="5">
        <f t="shared" ca="1" si="3"/>
        <v>0</v>
      </c>
      <c r="S47" s="5">
        <v>0</v>
      </c>
      <c r="T47" s="13"/>
      <c r="U47" s="13"/>
      <c r="V47" s="5" t="str">
        <f t="shared" si="4"/>
        <v>Q2</v>
      </c>
    </row>
    <row r="48" spans="1:22" ht="30">
      <c r="A48" s="23">
        <f t="shared" si="5"/>
        <v>33</v>
      </c>
      <c r="B48" s="5" t="s">
        <v>22</v>
      </c>
      <c r="C48" s="5" t="s">
        <v>49</v>
      </c>
      <c r="D48" s="5" t="s">
        <v>125</v>
      </c>
      <c r="E48" s="24" t="s">
        <v>160</v>
      </c>
      <c r="F48" s="24" t="s">
        <v>161</v>
      </c>
      <c r="G48" s="5" t="s">
        <v>150</v>
      </c>
      <c r="H48" s="5"/>
      <c r="I48" s="5" t="s">
        <v>37</v>
      </c>
      <c r="J48" s="14" t="s">
        <v>151</v>
      </c>
      <c r="K48" s="5" t="s">
        <v>31</v>
      </c>
      <c r="L48" s="13"/>
      <c r="M48" s="5">
        <f t="shared" ref="M48:M79" si="13">IF(K48="Critical",4,IF(K48="High",3,IF(K48="Medium",2,IF(K48="Low",1,0))))</f>
        <v>3</v>
      </c>
      <c r="N48" s="15">
        <v>0</v>
      </c>
      <c r="O48" s="15">
        <f t="shared" si="6"/>
        <v>0</v>
      </c>
      <c r="P48" s="5">
        <f t="shared" ref="P48:P79" si="14">M48*O48</f>
        <v>0</v>
      </c>
      <c r="Q48" s="5" t="str">
        <f t="shared" ref="Q48:Q79" si="15">IF(OR(I48="Closed Out",I48="Complete",I48="Approved",I48="Reviewed"),"Closed",IF(OR(I48="HOLD",I48="Pause"),"Blocked","Open"))</f>
        <v>Blocked</v>
      </c>
      <c r="R48" s="5">
        <f t="shared" ref="R48:R79" ca="1" si="16">IF(AND(Q48="Open",ISNUMBER(L48),L48&lt;TODAY()),1,0)</f>
        <v>0</v>
      </c>
      <c r="S48" s="5">
        <v>0</v>
      </c>
      <c r="T48" s="13"/>
      <c r="U48" s="13"/>
      <c r="V48" s="5" t="str">
        <f t="shared" si="4"/>
        <v>No Date</v>
      </c>
    </row>
    <row r="49" spans="1:22" ht="60">
      <c r="A49" s="23">
        <f t="shared" si="5"/>
        <v>34</v>
      </c>
      <c r="B49" s="5" t="s">
        <v>22</v>
      </c>
      <c r="C49" s="5" t="s">
        <v>49</v>
      </c>
      <c r="D49" s="5" t="s">
        <v>149</v>
      </c>
      <c r="E49" s="24" t="s">
        <v>160</v>
      </c>
      <c r="F49" s="24" t="s">
        <v>161</v>
      </c>
      <c r="G49" s="5" t="s">
        <v>137</v>
      </c>
      <c r="H49" s="5"/>
      <c r="I49" s="5" t="s">
        <v>37</v>
      </c>
      <c r="J49" s="38" t="s">
        <v>162</v>
      </c>
      <c r="K49" s="5" t="s">
        <v>31</v>
      </c>
      <c r="L49" s="13"/>
      <c r="M49" s="5">
        <f t="shared" si="13"/>
        <v>3</v>
      </c>
      <c r="N49" s="15">
        <v>0.1</v>
      </c>
      <c r="O49" s="15">
        <f t="shared" si="6"/>
        <v>0.1</v>
      </c>
      <c r="P49" s="5">
        <f t="shared" si="14"/>
        <v>0.30000000000000004</v>
      </c>
      <c r="Q49" s="5" t="str">
        <f t="shared" si="15"/>
        <v>Blocked</v>
      </c>
      <c r="R49" s="5">
        <f t="shared" ca="1" si="16"/>
        <v>0</v>
      </c>
      <c r="S49" s="5">
        <v>0</v>
      </c>
      <c r="T49" s="13"/>
      <c r="U49" s="13"/>
      <c r="V49" s="5" t="str">
        <f t="shared" si="4"/>
        <v>No Date</v>
      </c>
    </row>
    <row r="50" spans="1:22" ht="30">
      <c r="A50" s="23">
        <f t="shared" si="5"/>
        <v>35</v>
      </c>
      <c r="B50" s="5" t="s">
        <v>22</v>
      </c>
      <c r="C50" s="5" t="s">
        <v>49</v>
      </c>
      <c r="D50" s="5" t="s">
        <v>152</v>
      </c>
      <c r="E50" s="24" t="s">
        <v>160</v>
      </c>
      <c r="F50" s="24" t="s">
        <v>161</v>
      </c>
      <c r="G50" s="5" t="s">
        <v>150</v>
      </c>
      <c r="H50" s="5"/>
      <c r="I50" s="5" t="s">
        <v>37</v>
      </c>
      <c r="J50" s="14" t="s">
        <v>151</v>
      </c>
      <c r="K50" s="5" t="s">
        <v>31</v>
      </c>
      <c r="L50" s="13"/>
      <c r="M50" s="5">
        <f t="shared" si="13"/>
        <v>3</v>
      </c>
      <c r="N50" s="15">
        <v>0</v>
      </c>
      <c r="O50" s="15">
        <f t="shared" si="6"/>
        <v>0</v>
      </c>
      <c r="P50" s="5">
        <f t="shared" si="14"/>
        <v>0</v>
      </c>
      <c r="Q50" s="5" t="str">
        <f t="shared" si="15"/>
        <v>Blocked</v>
      </c>
      <c r="R50" s="5">
        <f t="shared" ca="1" si="16"/>
        <v>0</v>
      </c>
      <c r="S50" s="5">
        <v>0</v>
      </c>
      <c r="T50" s="13"/>
      <c r="U50" s="13"/>
      <c r="V50" s="5" t="str">
        <f t="shared" si="4"/>
        <v>No Date</v>
      </c>
    </row>
    <row r="51" spans="1:22" ht="30">
      <c r="A51" s="23">
        <f t="shared" si="5"/>
        <v>36</v>
      </c>
      <c r="B51" s="5" t="s">
        <v>22</v>
      </c>
      <c r="C51" s="5" t="s">
        <v>49</v>
      </c>
      <c r="D51" s="5" t="s">
        <v>153</v>
      </c>
      <c r="E51" s="24" t="s">
        <v>160</v>
      </c>
      <c r="F51" s="24" t="s">
        <v>161</v>
      </c>
      <c r="G51" s="5" t="s">
        <v>150</v>
      </c>
      <c r="H51" s="5"/>
      <c r="I51" s="5" t="s">
        <v>37</v>
      </c>
      <c r="J51" s="14" t="s">
        <v>151</v>
      </c>
      <c r="K51" s="5" t="s">
        <v>31</v>
      </c>
      <c r="L51" s="13"/>
      <c r="M51" s="5">
        <f t="shared" si="13"/>
        <v>3</v>
      </c>
      <c r="N51" s="15">
        <v>0</v>
      </c>
      <c r="O51" s="15">
        <f t="shared" si="6"/>
        <v>0</v>
      </c>
      <c r="P51" s="5">
        <f t="shared" si="14"/>
        <v>0</v>
      </c>
      <c r="Q51" s="5" t="str">
        <f t="shared" si="15"/>
        <v>Blocked</v>
      </c>
      <c r="R51" s="5">
        <f t="shared" ca="1" si="16"/>
        <v>0</v>
      </c>
      <c r="S51" s="5">
        <v>0</v>
      </c>
      <c r="T51" s="13"/>
      <c r="U51" s="13"/>
      <c r="V51" s="5" t="str">
        <f t="shared" si="4"/>
        <v>No Date</v>
      </c>
    </row>
    <row r="52" spans="1:22" ht="30">
      <c r="A52" s="23">
        <f t="shared" si="5"/>
        <v>37</v>
      </c>
      <c r="B52" s="5" t="s">
        <v>22</v>
      </c>
      <c r="C52" s="5" t="s">
        <v>49</v>
      </c>
      <c r="D52" s="5" t="s">
        <v>154</v>
      </c>
      <c r="E52" s="24" t="s">
        <v>160</v>
      </c>
      <c r="F52" s="24" t="s">
        <v>161</v>
      </c>
      <c r="G52" s="5" t="s">
        <v>150</v>
      </c>
      <c r="H52" s="5"/>
      <c r="I52" s="5" t="s">
        <v>37</v>
      </c>
      <c r="J52" s="14" t="s">
        <v>151</v>
      </c>
      <c r="K52" s="5" t="s">
        <v>31</v>
      </c>
      <c r="L52" s="13"/>
      <c r="M52" s="5">
        <f t="shared" si="13"/>
        <v>3</v>
      </c>
      <c r="N52" s="15">
        <v>0</v>
      </c>
      <c r="O52" s="15">
        <f t="shared" si="6"/>
        <v>0</v>
      </c>
      <c r="P52" s="5">
        <f t="shared" si="14"/>
        <v>0</v>
      </c>
      <c r="Q52" s="5" t="str">
        <f t="shared" si="15"/>
        <v>Blocked</v>
      </c>
      <c r="R52" s="5">
        <f t="shared" ca="1" si="16"/>
        <v>0</v>
      </c>
      <c r="S52" s="5">
        <v>0</v>
      </c>
      <c r="T52" s="13"/>
      <c r="U52" s="13"/>
      <c r="V52" s="5" t="str">
        <f t="shared" si="4"/>
        <v>No Date</v>
      </c>
    </row>
    <row r="53" spans="1:22" ht="30">
      <c r="A53" s="23">
        <f t="shared" si="5"/>
        <v>38</v>
      </c>
      <c r="B53" s="5" t="s">
        <v>22</v>
      </c>
      <c r="C53" s="5" t="s">
        <v>49</v>
      </c>
      <c r="D53" s="5" t="s">
        <v>127</v>
      </c>
      <c r="E53" s="24" t="s">
        <v>160</v>
      </c>
      <c r="F53" s="24" t="s">
        <v>161</v>
      </c>
      <c r="G53" s="5" t="s">
        <v>150</v>
      </c>
      <c r="H53" s="5"/>
      <c r="I53" s="5" t="s">
        <v>37</v>
      </c>
      <c r="J53" s="14" t="s">
        <v>151</v>
      </c>
      <c r="K53" s="5" t="s">
        <v>31</v>
      </c>
      <c r="L53" s="13"/>
      <c r="M53" s="5">
        <f t="shared" si="13"/>
        <v>3</v>
      </c>
      <c r="N53" s="15">
        <v>0</v>
      </c>
      <c r="O53" s="15">
        <f t="shared" si="6"/>
        <v>0</v>
      </c>
      <c r="P53" s="5">
        <f t="shared" si="14"/>
        <v>0</v>
      </c>
      <c r="Q53" s="5" t="str">
        <f t="shared" si="15"/>
        <v>Blocked</v>
      </c>
      <c r="R53" s="5">
        <f t="shared" ca="1" si="16"/>
        <v>0</v>
      </c>
      <c r="S53" s="5">
        <v>0</v>
      </c>
      <c r="T53" s="13"/>
      <c r="U53" s="13"/>
      <c r="V53" s="5" t="str">
        <f t="shared" si="4"/>
        <v>No Date</v>
      </c>
    </row>
    <row r="54" spans="1:22" ht="45">
      <c r="A54" s="23">
        <f t="shared" si="5"/>
        <v>39</v>
      </c>
      <c r="B54" s="5" t="s">
        <v>22</v>
      </c>
      <c r="C54" s="5" t="s">
        <v>49</v>
      </c>
      <c r="D54" s="5" t="s">
        <v>130</v>
      </c>
      <c r="E54" s="24" t="s">
        <v>160</v>
      </c>
      <c r="F54" s="24" t="s">
        <v>161</v>
      </c>
      <c r="G54" s="5" t="s">
        <v>137</v>
      </c>
      <c r="H54" s="5"/>
      <c r="I54" s="5" t="s">
        <v>37</v>
      </c>
      <c r="J54" s="14" t="s">
        <v>163</v>
      </c>
      <c r="K54" s="5" t="s">
        <v>31</v>
      </c>
      <c r="L54" s="13"/>
      <c r="M54" s="5">
        <f t="shared" si="13"/>
        <v>3</v>
      </c>
      <c r="N54" s="15">
        <v>0.2</v>
      </c>
      <c r="O54" s="15">
        <f t="shared" si="6"/>
        <v>0.2</v>
      </c>
      <c r="P54" s="5">
        <f t="shared" si="14"/>
        <v>0.60000000000000009</v>
      </c>
      <c r="Q54" s="5" t="str">
        <f t="shared" si="15"/>
        <v>Blocked</v>
      </c>
      <c r="R54" s="5">
        <f t="shared" ca="1" si="16"/>
        <v>0</v>
      </c>
      <c r="S54" s="5">
        <v>0</v>
      </c>
      <c r="T54" s="13"/>
      <c r="U54" s="13"/>
      <c r="V54" s="5" t="str">
        <f t="shared" si="4"/>
        <v>No Date</v>
      </c>
    </row>
    <row r="55" spans="1:22" ht="30">
      <c r="A55" s="23">
        <f t="shared" si="5"/>
        <v>40</v>
      </c>
      <c r="B55" s="5" t="s">
        <v>22</v>
      </c>
      <c r="C55" s="5" t="s">
        <v>49</v>
      </c>
      <c r="D55" s="5" t="s">
        <v>156</v>
      </c>
      <c r="E55" s="24" t="s">
        <v>160</v>
      </c>
      <c r="F55" s="24" t="s">
        <v>161</v>
      </c>
      <c r="G55" s="5" t="s">
        <v>150</v>
      </c>
      <c r="H55" s="5"/>
      <c r="I55" s="5" t="s">
        <v>37</v>
      </c>
      <c r="J55" s="14" t="s">
        <v>151</v>
      </c>
      <c r="K55" s="5" t="s">
        <v>31</v>
      </c>
      <c r="L55" s="13"/>
      <c r="M55" s="5">
        <f t="shared" si="13"/>
        <v>3</v>
      </c>
      <c r="N55" s="15">
        <v>0</v>
      </c>
      <c r="O55" s="15">
        <f t="shared" si="6"/>
        <v>0</v>
      </c>
      <c r="P55" s="5">
        <f t="shared" si="14"/>
        <v>0</v>
      </c>
      <c r="Q55" s="5" t="str">
        <f t="shared" si="15"/>
        <v>Blocked</v>
      </c>
      <c r="R55" s="5">
        <f t="shared" ca="1" si="16"/>
        <v>0</v>
      </c>
      <c r="S55" s="5">
        <v>0</v>
      </c>
      <c r="T55" s="13"/>
      <c r="U55" s="13"/>
      <c r="V55" s="5" t="str">
        <f t="shared" si="4"/>
        <v>No Date</v>
      </c>
    </row>
    <row r="56" spans="1:22" ht="30">
      <c r="A56" s="23">
        <f t="shared" si="5"/>
        <v>41</v>
      </c>
      <c r="B56" s="5" t="s">
        <v>22</v>
      </c>
      <c r="C56" s="5" t="s">
        <v>49</v>
      </c>
      <c r="D56" s="5" t="s">
        <v>157</v>
      </c>
      <c r="E56" s="24" t="s">
        <v>160</v>
      </c>
      <c r="F56" s="24" t="s">
        <v>161</v>
      </c>
      <c r="G56" s="5" t="s">
        <v>150</v>
      </c>
      <c r="H56" s="5"/>
      <c r="I56" s="5" t="s">
        <v>37</v>
      </c>
      <c r="J56" s="14" t="s">
        <v>151</v>
      </c>
      <c r="K56" s="5" t="s">
        <v>31</v>
      </c>
      <c r="L56" s="13"/>
      <c r="M56" s="5">
        <f t="shared" si="13"/>
        <v>3</v>
      </c>
      <c r="N56" s="15">
        <v>0</v>
      </c>
      <c r="O56" s="15">
        <f t="shared" si="6"/>
        <v>0</v>
      </c>
      <c r="P56" s="5">
        <f t="shared" si="14"/>
        <v>0</v>
      </c>
      <c r="Q56" s="5" t="str">
        <f t="shared" si="15"/>
        <v>Blocked</v>
      </c>
      <c r="R56" s="5">
        <f t="shared" ca="1" si="16"/>
        <v>0</v>
      </c>
      <c r="S56" s="5">
        <v>0</v>
      </c>
      <c r="T56" s="13"/>
      <c r="U56" s="13"/>
      <c r="V56" s="5" t="str">
        <f t="shared" si="4"/>
        <v>No Date</v>
      </c>
    </row>
    <row r="57" spans="1:22" ht="30">
      <c r="A57" s="23">
        <f t="shared" si="5"/>
        <v>42</v>
      </c>
      <c r="B57" s="5" t="s">
        <v>22</v>
      </c>
      <c r="C57" s="5" t="s">
        <v>49</v>
      </c>
      <c r="D57" s="5" t="s">
        <v>132</v>
      </c>
      <c r="E57" s="24" t="s">
        <v>160</v>
      </c>
      <c r="F57" s="24" t="s">
        <v>161</v>
      </c>
      <c r="G57" s="5" t="s">
        <v>150</v>
      </c>
      <c r="H57" s="5"/>
      <c r="I57" s="5" t="s">
        <v>37</v>
      </c>
      <c r="J57" s="14" t="s">
        <v>151</v>
      </c>
      <c r="K57" s="5" t="s">
        <v>31</v>
      </c>
      <c r="L57" s="13"/>
      <c r="M57" s="5">
        <f t="shared" si="13"/>
        <v>3</v>
      </c>
      <c r="N57" s="15">
        <v>0</v>
      </c>
      <c r="O57" s="15">
        <f t="shared" si="6"/>
        <v>0</v>
      </c>
      <c r="P57" s="5">
        <f t="shared" si="14"/>
        <v>0</v>
      </c>
      <c r="Q57" s="5" t="str">
        <f t="shared" si="15"/>
        <v>Blocked</v>
      </c>
      <c r="R57" s="5">
        <f t="shared" ca="1" si="16"/>
        <v>0</v>
      </c>
      <c r="S57" s="5">
        <v>0</v>
      </c>
      <c r="T57" s="13"/>
      <c r="U57" s="13"/>
      <c r="V57" s="5" t="str">
        <f t="shared" si="4"/>
        <v>No Date</v>
      </c>
    </row>
    <row r="58" spans="1:22" ht="30">
      <c r="A58" s="23">
        <f t="shared" si="5"/>
        <v>43</v>
      </c>
      <c r="B58" s="5" t="s">
        <v>22</v>
      </c>
      <c r="C58" s="5" t="s">
        <v>49</v>
      </c>
      <c r="D58" s="5" t="s">
        <v>96</v>
      </c>
      <c r="E58" s="24" t="s">
        <v>160</v>
      </c>
      <c r="F58" s="24" t="s">
        <v>161</v>
      </c>
      <c r="G58" s="5" t="s">
        <v>150</v>
      </c>
      <c r="H58" s="5"/>
      <c r="I58" s="5" t="s">
        <v>37</v>
      </c>
      <c r="J58" s="14" t="s">
        <v>151</v>
      </c>
      <c r="K58" s="5" t="s">
        <v>31</v>
      </c>
      <c r="L58" s="13"/>
      <c r="M58" s="5">
        <f t="shared" si="13"/>
        <v>3</v>
      </c>
      <c r="N58" s="15">
        <v>0</v>
      </c>
      <c r="O58" s="15">
        <f t="shared" si="6"/>
        <v>0</v>
      </c>
      <c r="P58" s="5">
        <f t="shared" si="14"/>
        <v>0</v>
      </c>
      <c r="Q58" s="5" t="str">
        <f t="shared" si="15"/>
        <v>Blocked</v>
      </c>
      <c r="R58" s="5">
        <f t="shared" ca="1" si="16"/>
        <v>0</v>
      </c>
      <c r="S58" s="5">
        <v>0</v>
      </c>
      <c r="T58" s="13"/>
      <c r="U58" s="13"/>
      <c r="V58" s="5" t="str">
        <f t="shared" si="4"/>
        <v>No Date</v>
      </c>
    </row>
    <row r="59" spans="1:22" ht="30">
      <c r="A59" s="23">
        <f t="shared" si="5"/>
        <v>44</v>
      </c>
      <c r="B59" s="5" t="s">
        <v>132</v>
      </c>
      <c r="C59" s="5" t="s">
        <v>49</v>
      </c>
      <c r="D59" s="5" t="s">
        <v>132</v>
      </c>
      <c r="E59" s="24" t="s">
        <v>164</v>
      </c>
      <c r="F59" s="24" t="s">
        <v>165</v>
      </c>
      <c r="G59" s="5" t="s">
        <v>166</v>
      </c>
      <c r="H59" s="5"/>
      <c r="I59" s="5" t="s">
        <v>45</v>
      </c>
      <c r="J59" s="14" t="s">
        <v>167</v>
      </c>
      <c r="K59" s="5" t="s">
        <v>47</v>
      </c>
      <c r="L59" s="16">
        <v>46150</v>
      </c>
      <c r="M59" s="5">
        <f t="shared" si="13"/>
        <v>4</v>
      </c>
      <c r="N59" s="15">
        <v>1</v>
      </c>
      <c r="O59" s="15">
        <f t="shared" si="6"/>
        <v>1</v>
      </c>
      <c r="P59" s="5">
        <f t="shared" si="14"/>
        <v>4</v>
      </c>
      <c r="Q59" s="5" t="str">
        <f t="shared" si="15"/>
        <v>Closed</v>
      </c>
      <c r="R59" s="5">
        <f t="shared" ca="1" si="16"/>
        <v>0</v>
      </c>
      <c r="S59" s="5">
        <v>0</v>
      </c>
      <c r="T59" s="13"/>
      <c r="U59" s="13"/>
      <c r="V59" s="5" t="str">
        <f t="shared" si="4"/>
        <v>Q2</v>
      </c>
    </row>
    <row r="60" spans="1:22" ht="30">
      <c r="A60" s="23">
        <f t="shared" si="5"/>
        <v>45</v>
      </c>
      <c r="B60" s="5" t="s">
        <v>22</v>
      </c>
      <c r="C60" s="5" t="s">
        <v>23</v>
      </c>
      <c r="D60" s="5" t="s">
        <v>122</v>
      </c>
      <c r="E60" s="24" t="s">
        <v>160</v>
      </c>
      <c r="F60" s="24" t="s">
        <v>161</v>
      </c>
      <c r="G60" s="5" t="s">
        <v>150</v>
      </c>
      <c r="H60" s="5"/>
      <c r="I60" s="5" t="s">
        <v>37</v>
      </c>
      <c r="J60" s="14" t="s">
        <v>151</v>
      </c>
      <c r="K60" s="5" t="s">
        <v>31</v>
      </c>
      <c r="L60" s="13"/>
      <c r="M60" s="5">
        <f t="shared" si="13"/>
        <v>3</v>
      </c>
      <c r="N60" s="15">
        <v>0</v>
      </c>
      <c r="O60" s="15">
        <f t="shared" si="6"/>
        <v>0</v>
      </c>
      <c r="P60" s="5">
        <f t="shared" si="14"/>
        <v>0</v>
      </c>
      <c r="Q60" s="5" t="str">
        <f t="shared" si="15"/>
        <v>Blocked</v>
      </c>
      <c r="R60" s="5">
        <f t="shared" ca="1" si="16"/>
        <v>0</v>
      </c>
      <c r="S60" s="5">
        <v>0</v>
      </c>
      <c r="T60" s="13"/>
      <c r="U60" s="13"/>
      <c r="V60" s="5" t="str">
        <f t="shared" si="4"/>
        <v>No Date</v>
      </c>
    </row>
    <row r="61" spans="1:22" ht="30">
      <c r="A61" s="23">
        <f t="shared" si="5"/>
        <v>46</v>
      </c>
      <c r="B61" s="5" t="s">
        <v>22</v>
      </c>
      <c r="C61" s="5" t="s">
        <v>49</v>
      </c>
      <c r="D61" s="5" t="s">
        <v>50</v>
      </c>
      <c r="E61" s="24" t="s">
        <v>168</v>
      </c>
      <c r="F61" s="24" t="s">
        <v>169</v>
      </c>
      <c r="G61" s="5" t="s">
        <v>137</v>
      </c>
      <c r="H61" s="5"/>
      <c r="I61" s="5" t="s">
        <v>72</v>
      </c>
      <c r="J61" s="14" t="s">
        <v>170</v>
      </c>
      <c r="K61" s="5" t="s">
        <v>55</v>
      </c>
      <c r="L61" s="13"/>
      <c r="M61" s="5">
        <f t="shared" si="13"/>
        <v>2</v>
      </c>
      <c r="N61" s="15">
        <v>0</v>
      </c>
      <c r="O61" s="15">
        <f t="shared" si="6"/>
        <v>0</v>
      </c>
      <c r="P61" s="5">
        <f t="shared" si="14"/>
        <v>0</v>
      </c>
      <c r="Q61" s="5" t="str">
        <f t="shared" si="15"/>
        <v>Open</v>
      </c>
      <c r="R61" s="5">
        <f t="shared" ca="1" si="16"/>
        <v>0</v>
      </c>
      <c r="S61" s="5">
        <v>0</v>
      </c>
      <c r="T61" s="13"/>
      <c r="U61" s="13"/>
      <c r="V61" s="5" t="str">
        <f t="shared" si="4"/>
        <v>No Date</v>
      </c>
    </row>
    <row r="62" spans="1:22" ht="30">
      <c r="A62" s="23">
        <f t="shared" si="5"/>
        <v>47</v>
      </c>
      <c r="B62" s="5" t="s">
        <v>48</v>
      </c>
      <c r="C62" s="5" t="s">
        <v>23</v>
      </c>
      <c r="D62" s="5" t="s">
        <v>70</v>
      </c>
      <c r="E62" s="24" t="s">
        <v>171</v>
      </c>
      <c r="F62" s="24" t="s">
        <v>172</v>
      </c>
      <c r="G62" s="5" t="s">
        <v>150</v>
      </c>
      <c r="H62" s="5"/>
      <c r="I62" s="5" t="s">
        <v>72</v>
      </c>
      <c r="J62" s="14" t="s">
        <v>173</v>
      </c>
      <c r="K62" s="5" t="s">
        <v>55</v>
      </c>
      <c r="L62" s="13"/>
      <c r="M62" s="5">
        <f t="shared" si="13"/>
        <v>2</v>
      </c>
      <c r="N62" s="15">
        <v>0</v>
      </c>
      <c r="O62" s="15">
        <f t="shared" si="6"/>
        <v>0</v>
      </c>
      <c r="P62" s="5">
        <f t="shared" si="14"/>
        <v>0</v>
      </c>
      <c r="Q62" s="5" t="str">
        <f t="shared" si="15"/>
        <v>Open</v>
      </c>
      <c r="R62" s="5">
        <f t="shared" ca="1" si="16"/>
        <v>0</v>
      </c>
      <c r="S62" s="5">
        <v>0</v>
      </c>
      <c r="T62" s="13"/>
      <c r="U62" s="13"/>
      <c r="V62" s="5" t="str">
        <f t="shared" si="4"/>
        <v>No Date</v>
      </c>
    </row>
    <row r="63" spans="1:22" ht="60">
      <c r="A63" s="23">
        <f t="shared" si="5"/>
        <v>48</v>
      </c>
      <c r="B63" s="5" t="s">
        <v>110</v>
      </c>
      <c r="C63" s="5" t="s">
        <v>23</v>
      </c>
      <c r="D63" s="5" t="s">
        <v>152</v>
      </c>
      <c r="E63" s="24" t="s">
        <v>174</v>
      </c>
      <c r="F63" s="24" t="s">
        <v>175</v>
      </c>
      <c r="G63" s="5" t="s">
        <v>142</v>
      </c>
      <c r="H63" s="5"/>
      <c r="I63" s="5" t="s">
        <v>72</v>
      </c>
      <c r="J63" s="14" t="s">
        <v>176</v>
      </c>
      <c r="K63" s="5" t="s">
        <v>61</v>
      </c>
      <c r="L63" s="13" t="s">
        <v>69</v>
      </c>
      <c r="M63" s="5">
        <f t="shared" si="13"/>
        <v>1</v>
      </c>
      <c r="N63" s="15">
        <v>0</v>
      </c>
      <c r="O63" s="15">
        <f t="shared" si="6"/>
        <v>0</v>
      </c>
      <c r="P63" s="5">
        <f t="shared" si="14"/>
        <v>0</v>
      </c>
      <c r="Q63" s="5" t="str">
        <f t="shared" si="15"/>
        <v>Open</v>
      </c>
      <c r="R63" s="5">
        <f t="shared" ca="1" si="16"/>
        <v>0</v>
      </c>
      <c r="S63" s="5">
        <v>0</v>
      </c>
      <c r="T63" s="13"/>
      <c r="U63" s="13"/>
      <c r="V63" s="5" t="str">
        <f t="shared" si="4"/>
        <v>Q3</v>
      </c>
    </row>
    <row r="64" spans="1:22" ht="60">
      <c r="A64" s="23">
        <f>IF(A63="Item #",1,A63+1)</f>
        <v>49</v>
      </c>
      <c r="B64" s="5" t="s">
        <v>110</v>
      </c>
      <c r="C64" s="5" t="s">
        <v>49</v>
      </c>
      <c r="D64" s="5" t="s">
        <v>125</v>
      </c>
      <c r="E64" s="24" t="s">
        <v>174</v>
      </c>
      <c r="F64" s="24" t="s">
        <v>177</v>
      </c>
      <c r="G64" s="5" t="s">
        <v>142</v>
      </c>
      <c r="H64" s="5"/>
      <c r="I64" s="5" t="s">
        <v>72</v>
      </c>
      <c r="J64" s="14" t="s">
        <v>176</v>
      </c>
      <c r="K64" s="5" t="s">
        <v>61</v>
      </c>
      <c r="L64" s="13" t="s">
        <v>69</v>
      </c>
      <c r="M64" s="5">
        <f t="shared" si="13"/>
        <v>1</v>
      </c>
      <c r="N64" s="15">
        <v>0</v>
      </c>
      <c r="O64" s="15">
        <f t="shared" si="6"/>
        <v>0</v>
      </c>
      <c r="P64" s="5">
        <f t="shared" si="14"/>
        <v>0</v>
      </c>
      <c r="Q64" s="5" t="str">
        <f t="shared" si="15"/>
        <v>Open</v>
      </c>
      <c r="R64" s="5">
        <f t="shared" ca="1" si="16"/>
        <v>0</v>
      </c>
      <c r="S64" s="5">
        <v>0</v>
      </c>
      <c r="T64" s="13"/>
      <c r="U64" s="13"/>
      <c r="V64" s="5" t="str">
        <f t="shared" si="4"/>
        <v>Q3</v>
      </c>
    </row>
    <row r="65" spans="1:22" ht="60">
      <c r="A65" s="23">
        <f t="shared" si="5"/>
        <v>50</v>
      </c>
      <c r="B65" s="5" t="s">
        <v>110</v>
      </c>
      <c r="C65" s="5" t="s">
        <v>49</v>
      </c>
      <c r="D65" s="5" t="s">
        <v>144</v>
      </c>
      <c r="E65" s="24" t="s">
        <v>174</v>
      </c>
      <c r="F65" s="24" t="s">
        <v>178</v>
      </c>
      <c r="G65" s="5" t="s">
        <v>150</v>
      </c>
      <c r="H65" s="5"/>
      <c r="I65" s="5" t="s">
        <v>72</v>
      </c>
      <c r="J65" s="14"/>
      <c r="K65" s="5" t="s">
        <v>61</v>
      </c>
      <c r="L65" s="13" t="s">
        <v>69</v>
      </c>
      <c r="M65" s="5">
        <f t="shared" si="13"/>
        <v>1</v>
      </c>
      <c r="N65" s="15">
        <v>0</v>
      </c>
      <c r="O65" s="15">
        <f t="shared" si="6"/>
        <v>0</v>
      </c>
      <c r="P65" s="5">
        <f t="shared" si="14"/>
        <v>0</v>
      </c>
      <c r="Q65" s="5" t="str">
        <f t="shared" si="15"/>
        <v>Open</v>
      </c>
      <c r="R65" s="5">
        <f t="shared" ca="1" si="16"/>
        <v>0</v>
      </c>
      <c r="S65" s="5">
        <v>0</v>
      </c>
      <c r="T65" s="13"/>
      <c r="U65" s="13"/>
      <c r="V65" s="5" t="str">
        <f t="shared" si="4"/>
        <v>Q3</v>
      </c>
    </row>
    <row r="66" spans="1:22" ht="30">
      <c r="A66" s="23">
        <f t="shared" si="5"/>
        <v>51</v>
      </c>
      <c r="B66" s="5" t="s">
        <v>73</v>
      </c>
      <c r="C66" s="5" t="s">
        <v>42</v>
      </c>
      <c r="D66" s="5" t="s">
        <v>24</v>
      </c>
      <c r="E66" s="24" t="s">
        <v>179</v>
      </c>
      <c r="F66" s="24" t="s">
        <v>180</v>
      </c>
      <c r="G66" s="5" t="s">
        <v>181</v>
      </c>
      <c r="H66" s="5" t="s">
        <v>77</v>
      </c>
      <c r="I66" s="5" t="s">
        <v>37</v>
      </c>
      <c r="J66" s="14" t="s">
        <v>182</v>
      </c>
      <c r="K66" s="5" t="s">
        <v>61</v>
      </c>
      <c r="L66" s="13"/>
      <c r="M66" s="5">
        <f t="shared" si="13"/>
        <v>1</v>
      </c>
      <c r="N66" s="15">
        <v>0</v>
      </c>
      <c r="O66" s="15">
        <f t="shared" si="6"/>
        <v>0</v>
      </c>
      <c r="P66" s="5">
        <f t="shared" si="14"/>
        <v>0</v>
      </c>
      <c r="Q66" s="5" t="str">
        <f t="shared" si="15"/>
        <v>Blocked</v>
      </c>
      <c r="R66" s="5">
        <f t="shared" ca="1" si="16"/>
        <v>0</v>
      </c>
      <c r="S66" s="5">
        <v>0</v>
      </c>
      <c r="T66" s="13"/>
      <c r="U66" s="13"/>
      <c r="V66" s="5" t="str">
        <f t="shared" si="4"/>
        <v>No Date</v>
      </c>
    </row>
    <row r="67" spans="1:22" ht="60">
      <c r="A67" s="23">
        <f t="shared" si="5"/>
        <v>52</v>
      </c>
      <c r="B67" s="5" t="s">
        <v>110</v>
      </c>
      <c r="C67" s="5" t="s">
        <v>49</v>
      </c>
      <c r="D67" s="5" t="s">
        <v>183</v>
      </c>
      <c r="E67" s="24" t="s">
        <v>174</v>
      </c>
      <c r="F67" s="24" t="s">
        <v>184</v>
      </c>
      <c r="G67" s="5" t="s">
        <v>150</v>
      </c>
      <c r="H67" s="5"/>
      <c r="I67" s="5" t="s">
        <v>147</v>
      </c>
      <c r="J67" s="14" t="s">
        <v>185</v>
      </c>
      <c r="K67" s="5" t="s">
        <v>61</v>
      </c>
      <c r="L67" s="13" t="s">
        <v>69</v>
      </c>
      <c r="M67" s="5">
        <f t="shared" si="13"/>
        <v>1</v>
      </c>
      <c r="N67" s="15">
        <v>0.25</v>
      </c>
      <c r="O67" s="15">
        <f t="shared" si="6"/>
        <v>0.25</v>
      </c>
      <c r="P67" s="5">
        <f t="shared" si="14"/>
        <v>0.25</v>
      </c>
      <c r="Q67" s="5" t="str">
        <f t="shared" si="15"/>
        <v>Open</v>
      </c>
      <c r="R67" s="5">
        <f t="shared" ca="1" si="16"/>
        <v>0</v>
      </c>
      <c r="S67" s="5">
        <v>0</v>
      </c>
      <c r="T67" s="13"/>
      <c r="U67" s="13"/>
      <c r="V67" s="5" t="str">
        <f t="shared" si="4"/>
        <v>Q3</v>
      </c>
    </row>
    <row r="68" spans="1:22" ht="60">
      <c r="A68" s="23">
        <f t="shared" si="5"/>
        <v>53</v>
      </c>
      <c r="B68" s="5" t="s">
        <v>110</v>
      </c>
      <c r="C68" s="5" t="s">
        <v>49</v>
      </c>
      <c r="D68" s="5" t="s">
        <v>96</v>
      </c>
      <c r="E68" s="24" t="s">
        <v>174</v>
      </c>
      <c r="F68" s="24" t="s">
        <v>186</v>
      </c>
      <c r="G68" s="5" t="s">
        <v>150</v>
      </c>
      <c r="H68" s="5"/>
      <c r="I68" s="5" t="s">
        <v>72</v>
      </c>
      <c r="J68" s="14"/>
      <c r="K68" s="5" t="s">
        <v>61</v>
      </c>
      <c r="L68" s="13" t="s">
        <v>69</v>
      </c>
      <c r="M68" s="5">
        <f t="shared" si="13"/>
        <v>1</v>
      </c>
      <c r="N68" s="15">
        <v>0</v>
      </c>
      <c r="O68" s="15">
        <f t="shared" si="6"/>
        <v>0</v>
      </c>
      <c r="P68" s="5">
        <f t="shared" si="14"/>
        <v>0</v>
      </c>
      <c r="Q68" s="5" t="str">
        <f t="shared" si="15"/>
        <v>Open</v>
      </c>
      <c r="R68" s="5">
        <f t="shared" ca="1" si="16"/>
        <v>0</v>
      </c>
      <c r="S68" s="5">
        <v>0</v>
      </c>
      <c r="T68" s="13"/>
      <c r="U68" s="13"/>
      <c r="V68" s="5" t="str">
        <f t="shared" si="4"/>
        <v>Q3</v>
      </c>
    </row>
    <row r="69" spans="1:22" ht="60">
      <c r="A69" s="23">
        <f t="shared" si="5"/>
        <v>54</v>
      </c>
      <c r="B69" s="5" t="s">
        <v>110</v>
      </c>
      <c r="C69" s="5" t="s">
        <v>49</v>
      </c>
      <c r="D69" s="5" t="s">
        <v>127</v>
      </c>
      <c r="E69" s="24" t="s">
        <v>174</v>
      </c>
      <c r="F69" s="24" t="s">
        <v>187</v>
      </c>
      <c r="G69" s="5" t="s">
        <v>76</v>
      </c>
      <c r="H69" s="5"/>
      <c r="I69" s="5" t="s">
        <v>72</v>
      </c>
      <c r="J69" s="14"/>
      <c r="K69" s="5" t="s">
        <v>61</v>
      </c>
      <c r="L69" s="13" t="s">
        <v>69</v>
      </c>
      <c r="M69" s="5">
        <f t="shared" si="13"/>
        <v>1</v>
      </c>
      <c r="N69" s="15">
        <v>0</v>
      </c>
      <c r="O69" s="15">
        <f t="shared" si="6"/>
        <v>0</v>
      </c>
      <c r="P69" s="5">
        <f t="shared" si="14"/>
        <v>0</v>
      </c>
      <c r="Q69" s="5" t="str">
        <f t="shared" si="15"/>
        <v>Open</v>
      </c>
      <c r="R69" s="5">
        <f t="shared" ca="1" si="16"/>
        <v>0</v>
      </c>
      <c r="S69" s="5">
        <v>0</v>
      </c>
      <c r="T69" s="13"/>
      <c r="U69" s="13"/>
      <c r="V69" s="5" t="str">
        <f t="shared" si="4"/>
        <v>Q3</v>
      </c>
    </row>
    <row r="70" spans="1:22" ht="60">
      <c r="A70" s="23">
        <f t="shared" si="5"/>
        <v>55</v>
      </c>
      <c r="B70" s="5" t="s">
        <v>110</v>
      </c>
      <c r="C70" s="5" t="s">
        <v>49</v>
      </c>
      <c r="D70" s="5" t="s">
        <v>102</v>
      </c>
      <c r="E70" s="24" t="s">
        <v>174</v>
      </c>
      <c r="F70" s="24" t="s">
        <v>188</v>
      </c>
      <c r="G70" s="5" t="s">
        <v>150</v>
      </c>
      <c r="H70" s="5"/>
      <c r="I70" s="5" t="s">
        <v>72</v>
      </c>
      <c r="J70" s="14"/>
      <c r="K70" s="5" t="s">
        <v>61</v>
      </c>
      <c r="L70" s="13" t="s">
        <v>69</v>
      </c>
      <c r="M70" s="5">
        <f t="shared" si="13"/>
        <v>1</v>
      </c>
      <c r="N70" s="15">
        <v>0</v>
      </c>
      <c r="O70" s="15">
        <f t="shared" si="6"/>
        <v>0</v>
      </c>
      <c r="P70" s="5">
        <f t="shared" si="14"/>
        <v>0</v>
      </c>
      <c r="Q70" s="5" t="str">
        <f t="shared" si="15"/>
        <v>Open</v>
      </c>
      <c r="R70" s="5">
        <f t="shared" ca="1" si="16"/>
        <v>0</v>
      </c>
      <c r="S70" s="5">
        <v>0</v>
      </c>
      <c r="T70" s="13"/>
      <c r="U70" s="13"/>
      <c r="V70" s="5" t="str">
        <f t="shared" si="4"/>
        <v>Q3</v>
      </c>
    </row>
    <row r="71" spans="1:22" ht="60">
      <c r="A71" s="23">
        <f t="shared" si="5"/>
        <v>56</v>
      </c>
      <c r="B71" s="5" t="s">
        <v>110</v>
      </c>
      <c r="C71" s="5" t="s">
        <v>49</v>
      </c>
      <c r="D71" s="5" t="s">
        <v>189</v>
      </c>
      <c r="E71" s="24" t="s">
        <v>174</v>
      </c>
      <c r="F71" s="24" t="s">
        <v>190</v>
      </c>
      <c r="G71" s="5" t="s">
        <v>150</v>
      </c>
      <c r="H71" s="5"/>
      <c r="I71" s="5" t="s">
        <v>72</v>
      </c>
      <c r="J71" s="14"/>
      <c r="K71" s="5" t="s">
        <v>61</v>
      </c>
      <c r="L71" s="13" t="s">
        <v>69</v>
      </c>
      <c r="M71" s="5">
        <f t="shared" si="13"/>
        <v>1</v>
      </c>
      <c r="N71" s="15">
        <v>0</v>
      </c>
      <c r="O71" s="15">
        <f t="shared" si="6"/>
        <v>0</v>
      </c>
      <c r="P71" s="5">
        <f t="shared" si="14"/>
        <v>0</v>
      </c>
      <c r="Q71" s="5" t="str">
        <f t="shared" si="15"/>
        <v>Open</v>
      </c>
      <c r="R71" s="5">
        <f t="shared" ca="1" si="16"/>
        <v>0</v>
      </c>
      <c r="S71" s="5">
        <v>0</v>
      </c>
      <c r="T71" s="13"/>
      <c r="U71" s="13"/>
      <c r="V71" s="5" t="str">
        <f t="shared" si="4"/>
        <v>Q3</v>
      </c>
    </row>
    <row r="72" spans="1:22" ht="60">
      <c r="A72" s="23">
        <f t="shared" si="5"/>
        <v>57</v>
      </c>
      <c r="B72" s="5" t="s">
        <v>110</v>
      </c>
      <c r="C72" s="5" t="s">
        <v>49</v>
      </c>
      <c r="D72" s="5" t="s">
        <v>144</v>
      </c>
      <c r="E72" s="24" t="s">
        <v>174</v>
      </c>
      <c r="F72" s="24" t="s">
        <v>191</v>
      </c>
      <c r="G72" s="5" t="s">
        <v>150</v>
      </c>
      <c r="H72" s="5"/>
      <c r="I72" s="5" t="s">
        <v>72</v>
      </c>
      <c r="J72" s="14"/>
      <c r="K72" s="5" t="s">
        <v>61</v>
      </c>
      <c r="L72" s="13" t="s">
        <v>69</v>
      </c>
      <c r="M72" s="5">
        <f t="shared" si="13"/>
        <v>1</v>
      </c>
      <c r="N72" s="15">
        <v>0</v>
      </c>
      <c r="O72" s="15">
        <f t="shared" si="6"/>
        <v>0</v>
      </c>
      <c r="P72" s="5">
        <f t="shared" si="14"/>
        <v>0</v>
      </c>
      <c r="Q72" s="5" t="str">
        <f t="shared" si="15"/>
        <v>Open</v>
      </c>
      <c r="R72" s="5">
        <f t="shared" ca="1" si="16"/>
        <v>0</v>
      </c>
      <c r="S72" s="5">
        <v>0</v>
      </c>
      <c r="T72" s="13"/>
      <c r="U72" s="13"/>
      <c r="V72" s="5" t="str">
        <f t="shared" si="4"/>
        <v>Q3</v>
      </c>
    </row>
    <row r="73" spans="1:22" ht="30">
      <c r="A73" s="23">
        <f t="shared" si="5"/>
        <v>58</v>
      </c>
      <c r="B73" s="5" t="s">
        <v>41</v>
      </c>
      <c r="C73" s="5" t="s">
        <v>42</v>
      </c>
      <c r="D73" s="5" t="s">
        <v>24</v>
      </c>
      <c r="E73" s="24" t="s">
        <v>41</v>
      </c>
      <c r="F73" s="24" t="s">
        <v>192</v>
      </c>
      <c r="G73" s="5" t="s">
        <v>77</v>
      </c>
      <c r="H73" s="5"/>
      <c r="I73" s="5" t="s">
        <v>45</v>
      </c>
      <c r="J73" s="14" t="s">
        <v>193</v>
      </c>
      <c r="K73" s="5" t="s">
        <v>31</v>
      </c>
      <c r="L73" s="16">
        <v>46155</v>
      </c>
      <c r="M73" s="5">
        <f t="shared" si="13"/>
        <v>3</v>
      </c>
      <c r="N73" s="15">
        <v>1</v>
      </c>
      <c r="O73" s="15">
        <f t="shared" si="6"/>
        <v>1</v>
      </c>
      <c r="P73" s="5">
        <f t="shared" si="14"/>
        <v>3</v>
      </c>
      <c r="Q73" s="5" t="str">
        <f t="shared" si="15"/>
        <v>Closed</v>
      </c>
      <c r="R73" s="5">
        <f t="shared" ca="1" si="16"/>
        <v>0</v>
      </c>
      <c r="S73" s="5">
        <v>0</v>
      </c>
      <c r="T73" s="13"/>
      <c r="U73" s="13"/>
      <c r="V73" s="5" t="str">
        <f t="shared" si="4"/>
        <v>Q2</v>
      </c>
    </row>
    <row r="74" spans="1:22" ht="60">
      <c r="A74" s="23">
        <f t="shared" si="5"/>
        <v>59</v>
      </c>
      <c r="B74" s="5" t="s">
        <v>194</v>
      </c>
      <c r="C74" s="5" t="s">
        <v>42</v>
      </c>
      <c r="D74" s="5" t="s">
        <v>50</v>
      </c>
      <c r="E74" s="24" t="s">
        <v>168</v>
      </c>
      <c r="F74" s="24" t="s">
        <v>195</v>
      </c>
      <c r="G74" s="5" t="s">
        <v>196</v>
      </c>
      <c r="H74" s="5" t="s">
        <v>28</v>
      </c>
      <c r="I74" s="5" t="s">
        <v>37</v>
      </c>
      <c r="J74" s="14" t="s">
        <v>197</v>
      </c>
      <c r="K74" s="5" t="s">
        <v>61</v>
      </c>
      <c r="L74" s="13" t="s">
        <v>69</v>
      </c>
      <c r="M74" s="5">
        <f t="shared" si="13"/>
        <v>1</v>
      </c>
      <c r="N74" s="15">
        <v>0</v>
      </c>
      <c r="O74" s="15">
        <f t="shared" si="6"/>
        <v>0</v>
      </c>
      <c r="P74" s="5">
        <f t="shared" si="14"/>
        <v>0</v>
      </c>
      <c r="Q74" s="5" t="str">
        <f t="shared" si="15"/>
        <v>Blocked</v>
      </c>
      <c r="R74" s="5">
        <f t="shared" ca="1" si="16"/>
        <v>0</v>
      </c>
      <c r="S74" s="5">
        <v>0</v>
      </c>
      <c r="T74" s="13"/>
      <c r="U74" s="13"/>
      <c r="V74" s="5" t="str">
        <f t="shared" si="4"/>
        <v>Q3</v>
      </c>
    </row>
    <row r="75" spans="1:22" ht="60">
      <c r="A75" s="23">
        <f t="shared" si="5"/>
        <v>60</v>
      </c>
      <c r="B75" s="5" t="s">
        <v>110</v>
      </c>
      <c r="C75" s="5" t="s">
        <v>49</v>
      </c>
      <c r="D75" s="5" t="s">
        <v>96</v>
      </c>
      <c r="E75" s="24" t="s">
        <v>174</v>
      </c>
      <c r="F75" s="24" t="s">
        <v>198</v>
      </c>
      <c r="G75" s="5" t="s">
        <v>150</v>
      </c>
      <c r="H75" s="5"/>
      <c r="I75" s="5" t="s">
        <v>72</v>
      </c>
      <c r="J75" s="14"/>
      <c r="K75" s="5" t="s">
        <v>61</v>
      </c>
      <c r="L75" s="13" t="s">
        <v>69</v>
      </c>
      <c r="M75" s="5">
        <f t="shared" si="13"/>
        <v>1</v>
      </c>
      <c r="N75" s="15">
        <v>0</v>
      </c>
      <c r="O75" s="15">
        <f t="shared" si="6"/>
        <v>0</v>
      </c>
      <c r="P75" s="5">
        <f t="shared" si="14"/>
        <v>0</v>
      </c>
      <c r="Q75" s="5" t="str">
        <f t="shared" si="15"/>
        <v>Open</v>
      </c>
      <c r="R75" s="5">
        <f t="shared" ca="1" si="16"/>
        <v>0</v>
      </c>
      <c r="S75" s="5">
        <v>0</v>
      </c>
      <c r="T75" s="13"/>
      <c r="U75" s="13"/>
      <c r="V75" s="5" t="str">
        <f t="shared" si="4"/>
        <v>Q3</v>
      </c>
    </row>
    <row r="76" spans="1:22" ht="30">
      <c r="A76" s="23">
        <f t="shared" si="5"/>
        <v>61</v>
      </c>
      <c r="B76" s="5" t="s">
        <v>22</v>
      </c>
      <c r="C76" s="5" t="s">
        <v>49</v>
      </c>
      <c r="D76" s="5" t="s">
        <v>24</v>
      </c>
      <c r="E76" s="24" t="s">
        <v>103</v>
      </c>
      <c r="F76" s="24" t="s">
        <v>146</v>
      </c>
      <c r="G76" s="5" t="s">
        <v>150</v>
      </c>
      <c r="H76" s="5"/>
      <c r="I76" s="5" t="s">
        <v>37</v>
      </c>
      <c r="J76" s="14" t="s">
        <v>151</v>
      </c>
      <c r="K76" s="5" t="s">
        <v>31</v>
      </c>
      <c r="L76" s="13" t="s">
        <v>69</v>
      </c>
      <c r="M76" s="5">
        <f t="shared" si="13"/>
        <v>3</v>
      </c>
      <c r="N76" s="15">
        <v>0</v>
      </c>
      <c r="O76" s="15">
        <f t="shared" si="6"/>
        <v>0</v>
      </c>
      <c r="P76" s="5">
        <f t="shared" si="14"/>
        <v>0</v>
      </c>
      <c r="Q76" s="5" t="str">
        <f t="shared" si="15"/>
        <v>Blocked</v>
      </c>
      <c r="R76" s="5">
        <f t="shared" ca="1" si="16"/>
        <v>0</v>
      </c>
      <c r="S76" s="5">
        <v>0</v>
      </c>
      <c r="T76" s="13"/>
      <c r="U76" s="13"/>
      <c r="V76" s="5" t="str">
        <f t="shared" si="4"/>
        <v>Q3</v>
      </c>
    </row>
    <row r="77" spans="1:22" ht="30">
      <c r="A77" s="23">
        <f t="shared" si="5"/>
        <v>62</v>
      </c>
      <c r="B77" s="5" t="s">
        <v>22</v>
      </c>
      <c r="C77" s="5" t="s">
        <v>49</v>
      </c>
      <c r="D77" s="5" t="s">
        <v>131</v>
      </c>
      <c r="E77" s="24" t="s">
        <v>160</v>
      </c>
      <c r="F77" s="24" t="s">
        <v>161</v>
      </c>
      <c r="G77" s="5" t="s">
        <v>150</v>
      </c>
      <c r="H77" s="5"/>
      <c r="I77" s="5" t="s">
        <v>37</v>
      </c>
      <c r="J77" s="14" t="s">
        <v>151</v>
      </c>
      <c r="K77" s="5" t="s">
        <v>31</v>
      </c>
      <c r="L77" s="13" t="s">
        <v>69</v>
      </c>
      <c r="M77" s="5">
        <f t="shared" si="13"/>
        <v>3</v>
      </c>
      <c r="N77" s="15">
        <v>0</v>
      </c>
      <c r="O77" s="15">
        <f t="shared" si="6"/>
        <v>0</v>
      </c>
      <c r="P77" s="5">
        <f t="shared" si="14"/>
        <v>0</v>
      </c>
      <c r="Q77" s="5" t="str">
        <f t="shared" si="15"/>
        <v>Blocked</v>
      </c>
      <c r="R77" s="5">
        <f t="shared" ca="1" si="16"/>
        <v>0</v>
      </c>
      <c r="S77" s="5">
        <v>0</v>
      </c>
      <c r="T77" s="13"/>
      <c r="U77" s="13"/>
      <c r="V77" s="5" t="str">
        <f t="shared" si="4"/>
        <v>Q3</v>
      </c>
    </row>
    <row r="78" spans="1:22" ht="30">
      <c r="A78" s="23">
        <f t="shared" si="5"/>
        <v>63</v>
      </c>
      <c r="B78" s="5" t="s">
        <v>110</v>
      </c>
      <c r="C78" s="5" t="s">
        <v>23</v>
      </c>
      <c r="D78" s="5" t="s">
        <v>24</v>
      </c>
      <c r="E78" s="24" t="s">
        <v>25</v>
      </c>
      <c r="F78" s="24" t="s">
        <v>199</v>
      </c>
      <c r="G78" s="5" t="s">
        <v>150</v>
      </c>
      <c r="H78" s="5"/>
      <c r="I78" s="5" t="s">
        <v>37</v>
      </c>
      <c r="J78" s="14" t="s">
        <v>200</v>
      </c>
      <c r="K78" s="5" t="s">
        <v>31</v>
      </c>
      <c r="L78" s="13" t="s">
        <v>69</v>
      </c>
      <c r="M78" s="5">
        <f t="shared" si="13"/>
        <v>3</v>
      </c>
      <c r="N78" s="15">
        <v>0</v>
      </c>
      <c r="O78" s="15">
        <f t="shared" si="6"/>
        <v>0</v>
      </c>
      <c r="P78" s="5">
        <f t="shared" si="14"/>
        <v>0</v>
      </c>
      <c r="Q78" s="5" t="str">
        <f t="shared" si="15"/>
        <v>Blocked</v>
      </c>
      <c r="R78" s="5">
        <f t="shared" ca="1" si="16"/>
        <v>0</v>
      </c>
      <c r="S78" s="5">
        <v>0</v>
      </c>
      <c r="T78" s="13"/>
      <c r="U78" s="13"/>
      <c r="V78" s="5" t="str">
        <f t="shared" si="4"/>
        <v>Q3</v>
      </c>
    </row>
    <row r="79" spans="1:22" ht="60">
      <c r="A79" s="23">
        <f t="shared" si="5"/>
        <v>64</v>
      </c>
      <c r="B79" s="5" t="s">
        <v>110</v>
      </c>
      <c r="C79" s="5" t="s">
        <v>49</v>
      </c>
      <c r="D79" s="5" t="s">
        <v>183</v>
      </c>
      <c r="E79" s="24" t="s">
        <v>174</v>
      </c>
      <c r="F79" s="24" t="s">
        <v>201</v>
      </c>
      <c r="G79" s="5" t="s">
        <v>76</v>
      </c>
      <c r="H79" s="5"/>
      <c r="I79" s="5" t="s">
        <v>72</v>
      </c>
      <c r="J79" s="14"/>
      <c r="K79" s="5" t="s">
        <v>61</v>
      </c>
      <c r="L79" s="13" t="s">
        <v>69</v>
      </c>
      <c r="M79" s="5">
        <f t="shared" si="13"/>
        <v>1</v>
      </c>
      <c r="N79" s="15">
        <v>0</v>
      </c>
      <c r="O79" s="15">
        <f t="shared" si="6"/>
        <v>0</v>
      </c>
      <c r="P79" s="5">
        <f t="shared" si="14"/>
        <v>0</v>
      </c>
      <c r="Q79" s="5" t="str">
        <f t="shared" si="15"/>
        <v>Open</v>
      </c>
      <c r="R79" s="5">
        <f t="shared" ca="1" si="16"/>
        <v>0</v>
      </c>
      <c r="S79" s="5">
        <v>0</v>
      </c>
      <c r="T79" s="13"/>
      <c r="U79" s="13"/>
      <c r="V79" s="5" t="str">
        <f t="shared" si="4"/>
        <v>Q3</v>
      </c>
    </row>
    <row r="80" spans="1:22" ht="30">
      <c r="A80" s="23">
        <f t="shared" si="5"/>
        <v>65</v>
      </c>
      <c r="B80" s="5" t="s">
        <v>110</v>
      </c>
      <c r="C80" s="5" t="s">
        <v>49</v>
      </c>
      <c r="D80" s="5" t="s">
        <v>202</v>
      </c>
      <c r="E80" s="24" t="s">
        <v>164</v>
      </c>
      <c r="F80" s="24" t="s">
        <v>203</v>
      </c>
      <c r="G80" s="5" t="s">
        <v>76</v>
      </c>
      <c r="H80" s="5"/>
      <c r="I80" s="5" t="s">
        <v>72</v>
      </c>
      <c r="J80" s="14"/>
      <c r="K80" s="5" t="s">
        <v>61</v>
      </c>
      <c r="L80" s="13" t="s">
        <v>69</v>
      </c>
      <c r="M80" s="5">
        <f t="shared" ref="M80:M111" si="17">IF(K80="Critical",4,IF(K80="High",3,IF(K80="Medium",2,IF(K80="Low",1,0))))</f>
        <v>1</v>
      </c>
      <c r="N80" s="15">
        <v>0</v>
      </c>
      <c r="O80" s="15">
        <f t="shared" si="6"/>
        <v>0</v>
      </c>
      <c r="P80" s="5">
        <f t="shared" ref="P80:P111" si="18">M80*O80</f>
        <v>0</v>
      </c>
      <c r="Q80" s="5" t="str">
        <f t="shared" ref="Q80:Q111" si="19">IF(OR(I80="Closed Out",I80="Complete",I80="Approved",I80="Reviewed"),"Closed",IF(OR(I80="HOLD",I80="Pause"),"Blocked","Open"))</f>
        <v>Open</v>
      </c>
      <c r="R80" s="5">
        <f t="shared" ref="R80:R111" ca="1" si="20">IF(AND(Q80="Open",ISNUMBER(L80),L80&lt;TODAY()),1,0)</f>
        <v>0</v>
      </c>
      <c r="S80" s="5">
        <v>0</v>
      </c>
      <c r="T80" s="13"/>
      <c r="U80" s="13"/>
      <c r="V80" s="5" t="str">
        <f t="shared" ref="V80:V130" si="21">IF(ISNUMBER(L80),"Q"&amp;ROUNDUP(MONTH(L80)/3,0),IF(LEFT(TRIM(CLEAN(L80)),1)="Q","Q"&amp;VALUE(RIGHT(TRIM(CLEAN(L80)),1)),"No Date"))</f>
        <v>Q3</v>
      </c>
    </row>
    <row r="81" spans="1:22" ht="60">
      <c r="A81" s="23">
        <f t="shared" ref="A81:A134" si="22">IF(A80="Item #",1,A80+1)</f>
        <v>66</v>
      </c>
      <c r="B81" s="5" t="s">
        <v>110</v>
      </c>
      <c r="C81" s="5" t="s">
        <v>49</v>
      </c>
      <c r="D81" s="5" t="s">
        <v>149</v>
      </c>
      <c r="E81" s="24" t="s">
        <v>174</v>
      </c>
      <c r="F81" s="24" t="s">
        <v>204</v>
      </c>
      <c r="G81" s="5" t="s">
        <v>82</v>
      </c>
      <c r="H81" s="5"/>
      <c r="I81" s="5" t="s">
        <v>37</v>
      </c>
      <c r="J81" s="14" t="s">
        <v>205</v>
      </c>
      <c r="K81" s="5" t="s">
        <v>61</v>
      </c>
      <c r="L81" s="13" t="s">
        <v>69</v>
      </c>
      <c r="M81" s="5">
        <f t="shared" si="17"/>
        <v>1</v>
      </c>
      <c r="N81" s="15">
        <v>0</v>
      </c>
      <c r="O81" s="15">
        <f t="shared" ref="O81:O130" si="23">IF(N81="",IF(I81="Closed Out",1,IF(I81="Complete",1,IF(I81="Approved",1,IF(I81="Reviewed",1,IF(I81="In Review",0.9,IF(I81="75% Complete",0.75,IF(I81="50% Complete",0.5,IF(I81="25% Complete",0.25,IF(I81="Started",0.25,0))))))))),MAX(IF(I81="Closed Out",1,IF(I81="Complete",1,IF(I81="Approved",1,IF(I81="Reviewed",1,IF(I81="In Review",0.9,IF(I81="75% Complete",0.75,IF(I81="50% Complete",0.5,IF(I81="25% Complete",0.25,IF(I81="Started",0.25,0))))))))),N81))</f>
        <v>0</v>
      </c>
      <c r="P81" s="5">
        <f t="shared" si="18"/>
        <v>0</v>
      </c>
      <c r="Q81" s="5" t="str">
        <f t="shared" si="19"/>
        <v>Blocked</v>
      </c>
      <c r="R81" s="5">
        <f t="shared" ca="1" si="20"/>
        <v>0</v>
      </c>
      <c r="S81" s="5">
        <v>0</v>
      </c>
      <c r="T81" s="13"/>
      <c r="U81" s="13"/>
      <c r="V81" s="5" t="str">
        <f t="shared" si="21"/>
        <v>Q3</v>
      </c>
    </row>
    <row r="82" spans="1:22" ht="75">
      <c r="A82" s="23">
        <f t="shared" si="22"/>
        <v>67</v>
      </c>
      <c r="B82" s="5" t="s">
        <v>110</v>
      </c>
      <c r="C82" s="5" t="s">
        <v>49</v>
      </c>
      <c r="D82" s="5" t="s">
        <v>94</v>
      </c>
      <c r="E82" s="24" t="s">
        <v>164</v>
      </c>
      <c r="F82" s="24" t="s">
        <v>206</v>
      </c>
      <c r="G82" s="5" t="s">
        <v>150</v>
      </c>
      <c r="H82" s="5"/>
      <c r="I82" s="5" t="s">
        <v>72</v>
      </c>
      <c r="J82" s="14"/>
      <c r="K82" s="5" t="s">
        <v>55</v>
      </c>
      <c r="L82" s="13"/>
      <c r="M82" s="5">
        <f t="shared" si="17"/>
        <v>2</v>
      </c>
      <c r="N82" s="15">
        <v>0</v>
      </c>
      <c r="O82" s="15">
        <f t="shared" si="23"/>
        <v>0</v>
      </c>
      <c r="P82" s="5">
        <f t="shared" si="18"/>
        <v>0</v>
      </c>
      <c r="Q82" s="5" t="str">
        <f t="shared" si="19"/>
        <v>Open</v>
      </c>
      <c r="R82" s="5">
        <f t="shared" ca="1" si="20"/>
        <v>0</v>
      </c>
      <c r="S82" s="5">
        <v>0</v>
      </c>
      <c r="T82" s="13"/>
      <c r="U82" s="13"/>
      <c r="V82" s="5" t="str">
        <f t="shared" si="21"/>
        <v>No Date</v>
      </c>
    </row>
    <row r="83" spans="1:22" ht="60">
      <c r="A83" s="23">
        <f t="shared" si="22"/>
        <v>68</v>
      </c>
      <c r="B83" s="5" t="s">
        <v>194</v>
      </c>
      <c r="C83" s="5" t="s">
        <v>23</v>
      </c>
      <c r="D83" s="5" t="s">
        <v>57</v>
      </c>
      <c r="E83" s="24" t="s">
        <v>164</v>
      </c>
      <c r="F83" s="24" t="s">
        <v>207</v>
      </c>
      <c r="G83" s="5" t="s">
        <v>150</v>
      </c>
      <c r="H83" s="5"/>
      <c r="I83" s="5" t="s">
        <v>72</v>
      </c>
      <c r="J83" s="14" t="s">
        <v>208</v>
      </c>
      <c r="K83" s="5" t="s">
        <v>55</v>
      </c>
      <c r="L83" s="13" t="s">
        <v>69</v>
      </c>
      <c r="M83" s="5">
        <f t="shared" si="17"/>
        <v>2</v>
      </c>
      <c r="N83" s="15">
        <v>0</v>
      </c>
      <c r="O83" s="15">
        <f t="shared" si="23"/>
        <v>0</v>
      </c>
      <c r="P83" s="5">
        <f t="shared" si="18"/>
        <v>0</v>
      </c>
      <c r="Q83" s="5" t="str">
        <f t="shared" si="19"/>
        <v>Open</v>
      </c>
      <c r="R83" s="5">
        <f t="shared" ca="1" si="20"/>
        <v>0</v>
      </c>
      <c r="S83" s="5">
        <v>0</v>
      </c>
      <c r="T83" s="13"/>
      <c r="U83" s="13"/>
      <c r="V83" s="5" t="str">
        <f t="shared" si="21"/>
        <v>Q3</v>
      </c>
    </row>
    <row r="84" spans="1:22" ht="45">
      <c r="A84" s="23">
        <f t="shared" si="22"/>
        <v>69</v>
      </c>
      <c r="B84" s="5" t="s">
        <v>194</v>
      </c>
      <c r="C84" s="5" t="s">
        <v>23</v>
      </c>
      <c r="D84" s="5" t="s">
        <v>189</v>
      </c>
      <c r="E84" s="24" t="s">
        <v>164</v>
      </c>
      <c r="F84" s="24" t="s">
        <v>209</v>
      </c>
      <c r="G84" s="5" t="s">
        <v>67</v>
      </c>
      <c r="H84" s="5"/>
      <c r="I84" s="5" t="s">
        <v>147</v>
      </c>
      <c r="J84" s="14" t="s">
        <v>210</v>
      </c>
      <c r="K84" s="5" t="s">
        <v>55</v>
      </c>
      <c r="L84" s="13" t="s">
        <v>69</v>
      </c>
      <c r="M84" s="5">
        <f t="shared" si="17"/>
        <v>2</v>
      </c>
      <c r="N84" s="15">
        <v>0</v>
      </c>
      <c r="O84" s="15">
        <f t="shared" si="23"/>
        <v>0.25</v>
      </c>
      <c r="P84" s="5">
        <f t="shared" si="18"/>
        <v>0.5</v>
      </c>
      <c r="Q84" s="5" t="str">
        <f t="shared" si="19"/>
        <v>Open</v>
      </c>
      <c r="R84" s="5">
        <f t="shared" ca="1" si="20"/>
        <v>0</v>
      </c>
      <c r="S84" s="5">
        <v>0</v>
      </c>
      <c r="T84" s="13"/>
      <c r="U84" s="13"/>
      <c r="V84" s="5" t="str">
        <f t="shared" si="21"/>
        <v>Q3</v>
      </c>
    </row>
    <row r="85" spans="1:22" ht="105">
      <c r="A85" s="23">
        <f t="shared" si="22"/>
        <v>70</v>
      </c>
      <c r="B85" s="5" t="s">
        <v>194</v>
      </c>
      <c r="C85" s="5" t="s">
        <v>49</v>
      </c>
      <c r="D85" s="5" t="s">
        <v>102</v>
      </c>
      <c r="E85" s="24" t="s">
        <v>164</v>
      </c>
      <c r="F85" s="24" t="s">
        <v>211</v>
      </c>
      <c r="G85" s="5" t="s">
        <v>150</v>
      </c>
      <c r="H85" s="5"/>
      <c r="I85" s="5" t="s">
        <v>72</v>
      </c>
      <c r="J85" s="14" t="s">
        <v>212</v>
      </c>
      <c r="K85" s="5" t="s">
        <v>55</v>
      </c>
      <c r="L85" s="13" t="s">
        <v>69</v>
      </c>
      <c r="M85" s="5">
        <f t="shared" si="17"/>
        <v>2</v>
      </c>
      <c r="N85" s="15">
        <v>0</v>
      </c>
      <c r="O85" s="15">
        <f t="shared" si="23"/>
        <v>0</v>
      </c>
      <c r="P85" s="5">
        <f t="shared" si="18"/>
        <v>0</v>
      </c>
      <c r="Q85" s="5" t="str">
        <f t="shared" si="19"/>
        <v>Open</v>
      </c>
      <c r="R85" s="5">
        <f t="shared" ca="1" si="20"/>
        <v>0</v>
      </c>
      <c r="S85" s="5">
        <v>0</v>
      </c>
      <c r="T85" s="13"/>
      <c r="U85" s="13"/>
      <c r="V85" s="5" t="str">
        <f t="shared" si="21"/>
        <v>Q3</v>
      </c>
    </row>
    <row r="86" spans="1:22" ht="120">
      <c r="A86" s="23">
        <f t="shared" si="22"/>
        <v>71</v>
      </c>
      <c r="B86" s="5" t="s">
        <v>41</v>
      </c>
      <c r="C86" s="5" t="s">
        <v>49</v>
      </c>
      <c r="D86" s="5" t="s">
        <v>24</v>
      </c>
      <c r="E86" s="24" t="s">
        <v>41</v>
      </c>
      <c r="F86" s="24" t="s">
        <v>213</v>
      </c>
      <c r="G86" s="5" t="s">
        <v>142</v>
      </c>
      <c r="H86" s="5" t="s">
        <v>105</v>
      </c>
      <c r="I86" s="5" t="s">
        <v>45</v>
      </c>
      <c r="J86" s="14" t="s">
        <v>214</v>
      </c>
      <c r="K86" s="5" t="s">
        <v>47</v>
      </c>
      <c r="L86" s="13"/>
      <c r="M86" s="5">
        <f t="shared" si="17"/>
        <v>4</v>
      </c>
      <c r="N86" s="15">
        <v>1</v>
      </c>
      <c r="O86" s="15">
        <f t="shared" si="23"/>
        <v>1</v>
      </c>
      <c r="P86" s="5">
        <f t="shared" si="18"/>
        <v>4</v>
      </c>
      <c r="Q86" s="5" t="str">
        <f t="shared" si="19"/>
        <v>Closed</v>
      </c>
      <c r="R86" s="5">
        <f t="shared" ca="1" si="20"/>
        <v>0</v>
      </c>
      <c r="S86" s="5">
        <v>0</v>
      </c>
      <c r="T86" s="13"/>
      <c r="U86" s="13"/>
      <c r="V86" s="5" t="str">
        <f t="shared" si="21"/>
        <v>No Date</v>
      </c>
    </row>
    <row r="87" spans="1:22" ht="30">
      <c r="A87" s="23">
        <f t="shared" si="22"/>
        <v>72</v>
      </c>
      <c r="B87" s="5" t="s">
        <v>41</v>
      </c>
      <c r="C87" s="5" t="s">
        <v>49</v>
      </c>
      <c r="D87" s="5" t="s">
        <v>24</v>
      </c>
      <c r="E87" s="24" t="s">
        <v>41</v>
      </c>
      <c r="F87" s="24" t="s">
        <v>215</v>
      </c>
      <c r="G87" s="5" t="s">
        <v>142</v>
      </c>
      <c r="H87" s="5" t="s">
        <v>105</v>
      </c>
      <c r="I87" s="5" t="s">
        <v>72</v>
      </c>
      <c r="J87" s="14" t="s">
        <v>216</v>
      </c>
      <c r="K87" s="5" t="s">
        <v>61</v>
      </c>
      <c r="L87" s="13" t="s">
        <v>69</v>
      </c>
      <c r="M87" s="5">
        <f t="shared" si="17"/>
        <v>1</v>
      </c>
      <c r="N87" s="15">
        <v>0</v>
      </c>
      <c r="O87" s="15">
        <f t="shared" si="23"/>
        <v>0</v>
      </c>
      <c r="P87" s="5">
        <f t="shared" si="18"/>
        <v>0</v>
      </c>
      <c r="Q87" s="5" t="str">
        <f t="shared" si="19"/>
        <v>Open</v>
      </c>
      <c r="R87" s="5">
        <f t="shared" ca="1" si="20"/>
        <v>0</v>
      </c>
      <c r="S87" s="5">
        <v>0</v>
      </c>
      <c r="T87" s="13"/>
      <c r="U87" s="13"/>
      <c r="V87" s="5" t="str">
        <f t="shared" si="21"/>
        <v>Q3</v>
      </c>
    </row>
    <row r="88" spans="1:22" ht="45">
      <c r="A88" s="23">
        <f t="shared" si="22"/>
        <v>73</v>
      </c>
      <c r="B88" s="5" t="s">
        <v>85</v>
      </c>
      <c r="C88" s="5" t="s">
        <v>23</v>
      </c>
      <c r="D88" s="5" t="s">
        <v>24</v>
      </c>
      <c r="E88" s="24" t="s">
        <v>86</v>
      </c>
      <c r="F88" s="24" t="s">
        <v>217</v>
      </c>
      <c r="G88" s="5" t="s">
        <v>28</v>
      </c>
      <c r="H88" s="5"/>
      <c r="I88" s="5" t="s">
        <v>53</v>
      </c>
      <c r="J88" s="14" t="s">
        <v>218</v>
      </c>
      <c r="K88" s="5" t="s">
        <v>47</v>
      </c>
      <c r="L88" s="16">
        <v>46157</v>
      </c>
      <c r="M88" s="5">
        <f t="shared" si="17"/>
        <v>4</v>
      </c>
      <c r="N88" s="15">
        <v>0.5</v>
      </c>
      <c r="O88" s="15">
        <f t="shared" si="23"/>
        <v>0.9</v>
      </c>
      <c r="P88" s="5">
        <f t="shared" si="18"/>
        <v>3.6</v>
      </c>
      <c r="Q88" s="5" t="str">
        <f t="shared" si="19"/>
        <v>Open</v>
      </c>
      <c r="R88" s="5">
        <f t="shared" ca="1" si="20"/>
        <v>1</v>
      </c>
      <c r="S88" s="5">
        <v>0</v>
      </c>
      <c r="T88" s="13"/>
      <c r="U88" s="13"/>
      <c r="V88" s="5" t="str">
        <f t="shared" si="21"/>
        <v>Q2</v>
      </c>
    </row>
    <row r="89" spans="1:22" ht="60">
      <c r="A89" s="23">
        <f t="shared" si="22"/>
        <v>74</v>
      </c>
      <c r="B89" s="5" t="s">
        <v>41</v>
      </c>
      <c r="C89" s="5" t="s">
        <v>42</v>
      </c>
      <c r="D89" s="5" t="s">
        <v>24</v>
      </c>
      <c r="E89" s="24" t="s">
        <v>41</v>
      </c>
      <c r="F89" s="24" t="s">
        <v>219</v>
      </c>
      <c r="G89" s="5" t="s">
        <v>77</v>
      </c>
      <c r="H89" s="5"/>
      <c r="I89" s="5" t="s">
        <v>45</v>
      </c>
      <c r="J89" s="14" t="s">
        <v>220</v>
      </c>
      <c r="K89" s="5" t="s">
        <v>31</v>
      </c>
      <c r="L89" s="16">
        <v>46157</v>
      </c>
      <c r="M89" s="5">
        <f t="shared" si="17"/>
        <v>3</v>
      </c>
      <c r="N89" s="15">
        <v>1</v>
      </c>
      <c r="O89" s="15">
        <f t="shared" si="23"/>
        <v>1</v>
      </c>
      <c r="P89" s="5">
        <f t="shared" si="18"/>
        <v>3</v>
      </c>
      <c r="Q89" s="5" t="str">
        <f t="shared" si="19"/>
        <v>Closed</v>
      </c>
      <c r="R89" s="5">
        <f t="shared" ca="1" si="20"/>
        <v>0</v>
      </c>
      <c r="S89" s="5">
        <v>0</v>
      </c>
      <c r="T89" s="13"/>
      <c r="U89" s="13"/>
      <c r="V89" s="5" t="str">
        <f t="shared" si="21"/>
        <v>Q2</v>
      </c>
    </row>
    <row r="90" spans="1:22" ht="45">
      <c r="A90" s="23">
        <f t="shared" si="22"/>
        <v>75</v>
      </c>
      <c r="B90" s="5" t="s">
        <v>221</v>
      </c>
      <c r="C90" s="5" t="s">
        <v>49</v>
      </c>
      <c r="D90" s="5" t="s">
        <v>96</v>
      </c>
      <c r="E90" s="24" t="s">
        <v>97</v>
      </c>
      <c r="F90" s="24" t="s">
        <v>222</v>
      </c>
      <c r="G90" s="5" t="s">
        <v>223</v>
      </c>
      <c r="H90" s="5"/>
      <c r="I90" s="5" t="s">
        <v>45</v>
      </c>
      <c r="J90" s="14" t="s">
        <v>224</v>
      </c>
      <c r="K90" s="5" t="s">
        <v>61</v>
      </c>
      <c r="L90" s="13"/>
      <c r="M90" s="5">
        <f t="shared" si="17"/>
        <v>1</v>
      </c>
      <c r="N90" s="15">
        <v>1</v>
      </c>
      <c r="O90" s="15">
        <f t="shared" si="23"/>
        <v>1</v>
      </c>
      <c r="P90" s="5">
        <f t="shared" si="18"/>
        <v>1</v>
      </c>
      <c r="Q90" s="5" t="str">
        <f t="shared" si="19"/>
        <v>Closed</v>
      </c>
      <c r="R90" s="5">
        <f t="shared" ca="1" si="20"/>
        <v>0</v>
      </c>
      <c r="S90" s="5">
        <v>0</v>
      </c>
      <c r="T90" s="13"/>
      <c r="U90" s="13"/>
      <c r="V90" s="5" t="str">
        <f t="shared" si="21"/>
        <v>No Date</v>
      </c>
    </row>
    <row r="91" spans="1:22" ht="60">
      <c r="A91" s="23">
        <f t="shared" si="22"/>
        <v>76</v>
      </c>
      <c r="B91" s="5" t="s">
        <v>221</v>
      </c>
      <c r="C91" s="5" t="s">
        <v>49</v>
      </c>
      <c r="D91" s="5" t="s">
        <v>96</v>
      </c>
      <c r="E91" s="24" t="s">
        <v>97</v>
      </c>
      <c r="F91" s="24" t="s">
        <v>225</v>
      </c>
      <c r="G91" s="5" t="s">
        <v>223</v>
      </c>
      <c r="H91" s="5"/>
      <c r="I91" s="5" t="s">
        <v>45</v>
      </c>
      <c r="J91" s="14" t="s">
        <v>226</v>
      </c>
      <c r="K91" s="5" t="s">
        <v>61</v>
      </c>
      <c r="L91" s="13"/>
      <c r="M91" s="5">
        <f t="shared" si="17"/>
        <v>1</v>
      </c>
      <c r="N91" s="15">
        <v>1</v>
      </c>
      <c r="O91" s="15">
        <f t="shared" si="23"/>
        <v>1</v>
      </c>
      <c r="P91" s="5">
        <f t="shared" si="18"/>
        <v>1</v>
      </c>
      <c r="Q91" s="5" t="str">
        <f t="shared" si="19"/>
        <v>Closed</v>
      </c>
      <c r="R91" s="5">
        <f t="shared" ca="1" si="20"/>
        <v>0</v>
      </c>
      <c r="S91" s="5">
        <v>0</v>
      </c>
      <c r="T91" s="13"/>
      <c r="U91" s="13"/>
      <c r="V91" s="5" t="str">
        <f t="shared" si="21"/>
        <v>No Date</v>
      </c>
    </row>
    <row r="92" spans="1:22" ht="60">
      <c r="A92" s="23">
        <f t="shared" si="22"/>
        <v>77</v>
      </c>
      <c r="B92" s="5" t="s">
        <v>115</v>
      </c>
      <c r="C92" s="5" t="s">
        <v>23</v>
      </c>
      <c r="D92" s="5" t="s">
        <v>24</v>
      </c>
      <c r="E92" s="24" t="s">
        <v>80</v>
      </c>
      <c r="F92" s="24" t="s">
        <v>227</v>
      </c>
      <c r="G92" s="5" t="s">
        <v>137</v>
      </c>
      <c r="H92" s="5"/>
      <c r="I92" s="5" t="s">
        <v>228</v>
      </c>
      <c r="J92" s="35" t="s">
        <v>229</v>
      </c>
      <c r="K92" s="5" t="s">
        <v>61</v>
      </c>
      <c r="L92" s="13"/>
      <c r="M92" s="5">
        <f t="shared" si="17"/>
        <v>1</v>
      </c>
      <c r="N92" s="15">
        <v>0.75</v>
      </c>
      <c r="O92" s="15">
        <f t="shared" si="23"/>
        <v>0.75</v>
      </c>
      <c r="P92" s="5">
        <f t="shared" si="18"/>
        <v>0.75</v>
      </c>
      <c r="Q92" s="5" t="str">
        <f t="shared" si="19"/>
        <v>Open</v>
      </c>
      <c r="R92" s="5">
        <f t="shared" ca="1" si="20"/>
        <v>0</v>
      </c>
      <c r="S92" s="5">
        <v>0</v>
      </c>
      <c r="T92" s="13"/>
      <c r="U92" s="13"/>
      <c r="V92" s="5" t="str">
        <f t="shared" si="21"/>
        <v>No Date</v>
      </c>
    </row>
    <row r="93" spans="1:22" ht="45">
      <c r="A93" s="23">
        <f t="shared" si="22"/>
        <v>78</v>
      </c>
      <c r="B93" s="5" t="s">
        <v>230</v>
      </c>
      <c r="C93" s="5" t="s">
        <v>42</v>
      </c>
      <c r="D93" s="5" t="s">
        <v>50</v>
      </c>
      <c r="E93" s="24" t="s">
        <v>51</v>
      </c>
      <c r="F93" s="24" t="s">
        <v>231</v>
      </c>
      <c r="G93" s="5" t="s">
        <v>137</v>
      </c>
      <c r="H93" s="5"/>
      <c r="I93" s="5" t="s">
        <v>45</v>
      </c>
      <c r="J93" s="14" t="s">
        <v>232</v>
      </c>
      <c r="K93" s="5" t="s">
        <v>31</v>
      </c>
      <c r="L93" s="13"/>
      <c r="M93" s="5">
        <f t="shared" si="17"/>
        <v>3</v>
      </c>
      <c r="N93" s="15">
        <v>1</v>
      </c>
      <c r="O93" s="15">
        <f t="shared" si="23"/>
        <v>1</v>
      </c>
      <c r="P93" s="5">
        <f t="shared" si="18"/>
        <v>3</v>
      </c>
      <c r="Q93" s="5" t="str">
        <f t="shared" si="19"/>
        <v>Closed</v>
      </c>
      <c r="R93" s="5">
        <f t="shared" ca="1" si="20"/>
        <v>0</v>
      </c>
      <c r="S93" s="5">
        <v>0</v>
      </c>
      <c r="T93" s="13"/>
      <c r="U93" s="13"/>
      <c r="V93" s="5" t="str">
        <f t="shared" si="21"/>
        <v>No Date</v>
      </c>
    </row>
    <row r="94" spans="1:22" ht="75">
      <c r="A94" s="23">
        <f t="shared" si="22"/>
        <v>79</v>
      </c>
      <c r="B94" s="5" t="s">
        <v>110</v>
      </c>
      <c r="C94" s="5" t="s">
        <v>49</v>
      </c>
      <c r="D94" s="5" t="s">
        <v>130</v>
      </c>
      <c r="E94" s="24" t="s">
        <v>174</v>
      </c>
      <c r="F94" s="24" t="s">
        <v>233</v>
      </c>
      <c r="G94" s="5" t="s">
        <v>137</v>
      </c>
      <c r="H94" s="5"/>
      <c r="I94" s="5" t="s">
        <v>234</v>
      </c>
      <c r="J94" s="36" t="s">
        <v>235</v>
      </c>
      <c r="K94" s="5" t="s">
        <v>61</v>
      </c>
      <c r="L94" s="13" t="s">
        <v>69</v>
      </c>
      <c r="M94" s="5">
        <f t="shared" si="17"/>
        <v>1</v>
      </c>
      <c r="N94" s="15">
        <v>0</v>
      </c>
      <c r="O94" s="15">
        <f t="shared" si="23"/>
        <v>0</v>
      </c>
      <c r="P94" s="5">
        <f t="shared" si="18"/>
        <v>0</v>
      </c>
      <c r="Q94" s="5" t="str">
        <f t="shared" si="19"/>
        <v>Blocked</v>
      </c>
      <c r="R94" s="5">
        <f t="shared" ca="1" si="20"/>
        <v>0</v>
      </c>
      <c r="S94" s="5">
        <v>0</v>
      </c>
      <c r="T94" s="13"/>
      <c r="U94" s="13"/>
      <c r="V94" s="5" t="str">
        <f t="shared" si="21"/>
        <v>Q3</v>
      </c>
    </row>
    <row r="95" spans="1:22" ht="30">
      <c r="A95" s="23">
        <f t="shared" si="22"/>
        <v>80</v>
      </c>
      <c r="B95" s="5" t="s">
        <v>41</v>
      </c>
      <c r="C95" s="5" t="s">
        <v>23</v>
      </c>
      <c r="D95" s="5" t="s">
        <v>70</v>
      </c>
      <c r="E95" s="24" t="s">
        <v>41</v>
      </c>
      <c r="F95" s="24" t="s">
        <v>236</v>
      </c>
      <c r="G95" s="5" t="s">
        <v>137</v>
      </c>
      <c r="H95" s="5"/>
      <c r="I95" s="5" t="s">
        <v>45</v>
      </c>
      <c r="J95" s="14"/>
      <c r="K95" s="5" t="s">
        <v>61</v>
      </c>
      <c r="L95" s="13"/>
      <c r="M95" s="5">
        <f t="shared" si="17"/>
        <v>1</v>
      </c>
      <c r="N95" s="15">
        <v>1</v>
      </c>
      <c r="O95" s="15">
        <f t="shared" si="23"/>
        <v>1</v>
      </c>
      <c r="P95" s="5">
        <f t="shared" si="18"/>
        <v>1</v>
      </c>
      <c r="Q95" s="5" t="str">
        <f t="shared" si="19"/>
        <v>Closed</v>
      </c>
      <c r="R95" s="5">
        <f t="shared" ca="1" si="20"/>
        <v>0</v>
      </c>
      <c r="S95" s="5">
        <v>0</v>
      </c>
      <c r="T95" s="13"/>
      <c r="U95" s="13"/>
      <c r="V95" s="5" t="str">
        <f t="shared" si="21"/>
        <v>No Date</v>
      </c>
    </row>
    <row r="96" spans="1:22" ht="45">
      <c r="A96" s="23">
        <f t="shared" si="22"/>
        <v>81</v>
      </c>
      <c r="B96" s="5" t="s">
        <v>237</v>
      </c>
      <c r="C96" s="5" t="s">
        <v>42</v>
      </c>
      <c r="D96" s="5" t="s">
        <v>70</v>
      </c>
      <c r="E96" s="24" t="s">
        <v>65</v>
      </c>
      <c r="F96" s="24" t="s">
        <v>238</v>
      </c>
      <c r="G96" s="5" t="s">
        <v>137</v>
      </c>
      <c r="H96" s="5"/>
      <c r="I96" s="5" t="s">
        <v>45</v>
      </c>
      <c r="J96" s="14" t="s">
        <v>239</v>
      </c>
      <c r="K96" s="5" t="s">
        <v>61</v>
      </c>
      <c r="L96" s="13" t="s">
        <v>69</v>
      </c>
      <c r="M96" s="5">
        <f t="shared" si="17"/>
        <v>1</v>
      </c>
      <c r="N96" s="15">
        <v>1</v>
      </c>
      <c r="O96" s="15">
        <f t="shared" si="23"/>
        <v>1</v>
      </c>
      <c r="P96" s="5">
        <f t="shared" si="18"/>
        <v>1</v>
      </c>
      <c r="Q96" s="5" t="str">
        <f t="shared" si="19"/>
        <v>Closed</v>
      </c>
      <c r="R96" s="5">
        <f t="shared" ca="1" si="20"/>
        <v>0</v>
      </c>
      <c r="S96" s="5">
        <v>0</v>
      </c>
      <c r="T96" s="13"/>
      <c r="U96" s="13"/>
      <c r="V96" s="5" t="str">
        <f t="shared" si="21"/>
        <v>Q3</v>
      </c>
    </row>
    <row r="97" spans="1:22" ht="45">
      <c r="A97" s="23">
        <f t="shared" si="22"/>
        <v>82</v>
      </c>
      <c r="B97" s="5" t="s">
        <v>107</v>
      </c>
      <c r="C97" s="5" t="s">
        <v>42</v>
      </c>
      <c r="D97" s="5" t="s">
        <v>70</v>
      </c>
      <c r="E97" s="24" t="s">
        <v>65</v>
      </c>
      <c r="F97" s="24" t="s">
        <v>240</v>
      </c>
      <c r="G97" s="5" t="s">
        <v>137</v>
      </c>
      <c r="H97" s="5"/>
      <c r="I97" s="5" t="s">
        <v>45</v>
      </c>
      <c r="J97" s="14"/>
      <c r="K97" s="5" t="s">
        <v>61</v>
      </c>
      <c r="L97" s="13"/>
      <c r="M97" s="5">
        <f t="shared" si="17"/>
        <v>1</v>
      </c>
      <c r="N97" s="15">
        <v>1</v>
      </c>
      <c r="O97" s="15">
        <f t="shared" si="23"/>
        <v>1</v>
      </c>
      <c r="P97" s="5">
        <f t="shared" si="18"/>
        <v>1</v>
      </c>
      <c r="Q97" s="5" t="str">
        <f t="shared" si="19"/>
        <v>Closed</v>
      </c>
      <c r="R97" s="5">
        <f t="shared" ca="1" si="20"/>
        <v>0</v>
      </c>
      <c r="S97" s="5">
        <v>0</v>
      </c>
      <c r="T97" s="13"/>
      <c r="U97" s="13"/>
      <c r="V97" s="5" t="str">
        <f t="shared" si="21"/>
        <v>No Date</v>
      </c>
    </row>
    <row r="98" spans="1:22" ht="45">
      <c r="A98" s="23">
        <f t="shared" si="22"/>
        <v>83</v>
      </c>
      <c r="B98" s="5" t="s">
        <v>22</v>
      </c>
      <c r="C98" s="5" t="s">
        <v>42</v>
      </c>
      <c r="D98" s="5" t="s">
        <v>70</v>
      </c>
      <c r="E98" s="24" t="s">
        <v>58</v>
      </c>
      <c r="F98" s="24" t="s">
        <v>241</v>
      </c>
      <c r="G98" s="5" t="s">
        <v>196</v>
      </c>
      <c r="H98" s="5"/>
      <c r="I98" s="5" t="s">
        <v>45</v>
      </c>
      <c r="J98" s="14" t="s">
        <v>242</v>
      </c>
      <c r="K98" s="5" t="s">
        <v>61</v>
      </c>
      <c r="L98" s="13"/>
      <c r="M98" s="5">
        <f t="shared" si="17"/>
        <v>1</v>
      </c>
      <c r="N98" s="15">
        <v>1</v>
      </c>
      <c r="O98" s="15">
        <f t="shared" si="23"/>
        <v>1</v>
      </c>
      <c r="P98" s="5">
        <f t="shared" si="18"/>
        <v>1</v>
      </c>
      <c r="Q98" s="5" t="str">
        <f t="shared" si="19"/>
        <v>Closed</v>
      </c>
      <c r="R98" s="5">
        <f t="shared" ca="1" si="20"/>
        <v>0</v>
      </c>
      <c r="S98" s="5">
        <v>0</v>
      </c>
      <c r="T98" s="13"/>
      <c r="U98" s="13"/>
      <c r="V98" s="5" t="str">
        <f t="shared" si="21"/>
        <v>No Date</v>
      </c>
    </row>
    <row r="99" spans="1:22" ht="60">
      <c r="A99" s="23">
        <f t="shared" si="22"/>
        <v>84</v>
      </c>
      <c r="B99" s="5" t="s">
        <v>22</v>
      </c>
      <c r="C99" s="5" t="s">
        <v>42</v>
      </c>
      <c r="D99" s="5" t="s">
        <v>70</v>
      </c>
      <c r="E99" s="24" t="s">
        <v>58</v>
      </c>
      <c r="F99" s="24" t="s">
        <v>243</v>
      </c>
      <c r="G99" s="5" t="s">
        <v>196</v>
      </c>
      <c r="H99" s="5"/>
      <c r="I99" s="5" t="s">
        <v>45</v>
      </c>
      <c r="J99" s="14" t="s">
        <v>244</v>
      </c>
      <c r="K99" s="5" t="s">
        <v>61</v>
      </c>
      <c r="L99" s="13"/>
      <c r="M99" s="5">
        <f t="shared" si="17"/>
        <v>1</v>
      </c>
      <c r="N99" s="15">
        <v>1</v>
      </c>
      <c r="O99" s="15">
        <f t="shared" si="23"/>
        <v>1</v>
      </c>
      <c r="P99" s="5">
        <f t="shared" si="18"/>
        <v>1</v>
      </c>
      <c r="Q99" s="5" t="str">
        <f t="shared" si="19"/>
        <v>Closed</v>
      </c>
      <c r="R99" s="5">
        <f t="shared" ca="1" si="20"/>
        <v>0</v>
      </c>
      <c r="S99" s="5">
        <v>0</v>
      </c>
      <c r="T99" s="13"/>
      <c r="U99" s="13"/>
      <c r="V99" s="5" t="str">
        <f t="shared" si="21"/>
        <v>No Date</v>
      </c>
    </row>
    <row r="100" spans="1:22" ht="75">
      <c r="A100" s="23">
        <f t="shared" si="22"/>
        <v>85</v>
      </c>
      <c r="B100" s="5" t="s">
        <v>48</v>
      </c>
      <c r="C100" s="5" t="s">
        <v>42</v>
      </c>
      <c r="D100" s="5" t="s">
        <v>70</v>
      </c>
      <c r="E100" s="24" t="s">
        <v>245</v>
      </c>
      <c r="F100" s="24" t="s">
        <v>246</v>
      </c>
      <c r="G100" s="5" t="s">
        <v>196</v>
      </c>
      <c r="H100" s="5"/>
      <c r="I100" s="5" t="s">
        <v>45</v>
      </c>
      <c r="J100" s="14" t="s">
        <v>247</v>
      </c>
      <c r="K100" s="5" t="s">
        <v>31</v>
      </c>
      <c r="L100" s="13" t="s">
        <v>69</v>
      </c>
      <c r="M100" s="5">
        <f t="shared" si="17"/>
        <v>3</v>
      </c>
      <c r="N100" s="15">
        <v>1</v>
      </c>
      <c r="O100" s="15">
        <f t="shared" si="23"/>
        <v>1</v>
      </c>
      <c r="P100" s="5">
        <f t="shared" si="18"/>
        <v>3</v>
      </c>
      <c r="Q100" s="5" t="str">
        <f t="shared" si="19"/>
        <v>Closed</v>
      </c>
      <c r="R100" s="5">
        <f t="shared" ca="1" si="20"/>
        <v>0</v>
      </c>
      <c r="S100" s="5">
        <v>0</v>
      </c>
      <c r="T100" s="13"/>
      <c r="U100" s="13"/>
      <c r="V100" s="5" t="str">
        <f t="shared" si="21"/>
        <v>Q3</v>
      </c>
    </row>
    <row r="101" spans="1:22" ht="45">
      <c r="A101" s="23">
        <f t="shared" si="22"/>
        <v>86</v>
      </c>
      <c r="B101" s="5" t="s">
        <v>48</v>
      </c>
      <c r="C101" s="5" t="s">
        <v>42</v>
      </c>
      <c r="D101" s="5" t="s">
        <v>70</v>
      </c>
      <c r="E101" s="24" t="s">
        <v>80</v>
      </c>
      <c r="F101" s="24" t="s">
        <v>248</v>
      </c>
      <c r="G101" s="5" t="s">
        <v>196</v>
      </c>
      <c r="H101" s="5"/>
      <c r="I101" s="5" t="s">
        <v>72</v>
      </c>
      <c r="J101" s="14" t="s">
        <v>249</v>
      </c>
      <c r="K101" s="5" t="s">
        <v>61</v>
      </c>
      <c r="L101" s="13" t="s">
        <v>69</v>
      </c>
      <c r="M101" s="5">
        <f t="shared" si="17"/>
        <v>1</v>
      </c>
      <c r="N101" s="15">
        <v>0</v>
      </c>
      <c r="O101" s="15">
        <f t="shared" si="23"/>
        <v>0</v>
      </c>
      <c r="P101" s="5">
        <f t="shared" si="18"/>
        <v>0</v>
      </c>
      <c r="Q101" s="5" t="str">
        <f t="shared" si="19"/>
        <v>Open</v>
      </c>
      <c r="R101" s="5">
        <f t="shared" ca="1" si="20"/>
        <v>0</v>
      </c>
      <c r="S101" s="5">
        <v>0</v>
      </c>
      <c r="T101" s="13"/>
      <c r="U101" s="13"/>
      <c r="V101" s="5" t="str">
        <f t="shared" si="21"/>
        <v>Q3</v>
      </c>
    </row>
    <row r="102" spans="1:22" ht="30">
      <c r="A102" s="23">
        <f t="shared" si="22"/>
        <v>87</v>
      </c>
      <c r="B102" s="5" t="s">
        <v>41</v>
      </c>
      <c r="C102" s="5" t="s">
        <v>42</v>
      </c>
      <c r="D102" s="5" t="s">
        <v>24</v>
      </c>
      <c r="E102" s="24" t="s">
        <v>41</v>
      </c>
      <c r="F102" s="24" t="s">
        <v>250</v>
      </c>
      <c r="G102" s="5" t="s">
        <v>77</v>
      </c>
      <c r="H102" s="5"/>
      <c r="I102" s="5" t="s">
        <v>45</v>
      </c>
      <c r="J102" s="14" t="s">
        <v>251</v>
      </c>
      <c r="K102" s="5" t="s">
        <v>47</v>
      </c>
      <c r="L102" s="13"/>
      <c r="M102" s="5">
        <f t="shared" si="17"/>
        <v>4</v>
      </c>
      <c r="N102" s="15">
        <v>1</v>
      </c>
      <c r="O102" s="15">
        <f t="shared" si="23"/>
        <v>1</v>
      </c>
      <c r="P102" s="5">
        <f t="shared" si="18"/>
        <v>4</v>
      </c>
      <c r="Q102" s="5" t="str">
        <f t="shared" si="19"/>
        <v>Closed</v>
      </c>
      <c r="R102" s="5">
        <f t="shared" ca="1" si="20"/>
        <v>0</v>
      </c>
      <c r="S102" s="5">
        <v>0</v>
      </c>
      <c r="T102" s="13"/>
      <c r="U102" s="13"/>
      <c r="V102" s="5" t="str">
        <f t="shared" si="21"/>
        <v>No Date</v>
      </c>
    </row>
    <row r="103" spans="1:22" ht="15">
      <c r="A103" s="23">
        <f t="shared" si="22"/>
        <v>88</v>
      </c>
      <c r="B103" s="5" t="s">
        <v>41</v>
      </c>
      <c r="C103" s="5" t="s">
        <v>42</v>
      </c>
      <c r="D103" s="5" t="s">
        <v>24</v>
      </c>
      <c r="E103" s="24" t="s">
        <v>41</v>
      </c>
      <c r="F103" s="24" t="s">
        <v>252</v>
      </c>
      <c r="G103" s="5" t="s">
        <v>77</v>
      </c>
      <c r="H103" s="5" t="s">
        <v>137</v>
      </c>
      <c r="I103" s="5" t="s">
        <v>53</v>
      </c>
      <c r="J103" s="14" t="s">
        <v>253</v>
      </c>
      <c r="K103" s="5" t="s">
        <v>61</v>
      </c>
      <c r="L103" s="13" t="s">
        <v>69</v>
      </c>
      <c r="M103" s="5">
        <f t="shared" si="17"/>
        <v>1</v>
      </c>
      <c r="N103" s="15">
        <v>0.5</v>
      </c>
      <c r="O103" s="15">
        <f t="shared" si="23"/>
        <v>0.9</v>
      </c>
      <c r="P103" s="5">
        <f t="shared" si="18"/>
        <v>0.9</v>
      </c>
      <c r="Q103" s="5" t="str">
        <f t="shared" si="19"/>
        <v>Open</v>
      </c>
      <c r="R103" s="5">
        <f t="shared" ca="1" si="20"/>
        <v>0</v>
      </c>
      <c r="S103" s="5">
        <v>0</v>
      </c>
      <c r="T103" s="13"/>
      <c r="U103" s="13"/>
      <c r="V103" s="5" t="str">
        <f t="shared" si="21"/>
        <v>Q3</v>
      </c>
    </row>
    <row r="104" spans="1:22" ht="45">
      <c r="A104" s="23">
        <f t="shared" si="22"/>
        <v>89</v>
      </c>
      <c r="B104" s="5" t="s">
        <v>254</v>
      </c>
      <c r="C104" s="5" t="s">
        <v>42</v>
      </c>
      <c r="D104" s="5" t="s">
        <v>24</v>
      </c>
      <c r="E104" s="24" t="s">
        <v>255</v>
      </c>
      <c r="F104" s="24" t="s">
        <v>256</v>
      </c>
      <c r="G104" s="5" t="s">
        <v>77</v>
      </c>
      <c r="H104" s="5" t="s">
        <v>77</v>
      </c>
      <c r="I104" s="5" t="s">
        <v>53</v>
      </c>
      <c r="J104" s="14"/>
      <c r="K104" s="5" t="s">
        <v>61</v>
      </c>
      <c r="L104" s="13" t="s">
        <v>69</v>
      </c>
      <c r="M104" s="5">
        <f t="shared" si="17"/>
        <v>1</v>
      </c>
      <c r="N104" s="15">
        <v>0.75</v>
      </c>
      <c r="O104" s="15">
        <f t="shared" si="23"/>
        <v>0.9</v>
      </c>
      <c r="P104" s="5">
        <f t="shared" si="18"/>
        <v>0.9</v>
      </c>
      <c r="Q104" s="5" t="str">
        <f t="shared" si="19"/>
        <v>Open</v>
      </c>
      <c r="R104" s="5">
        <f t="shared" ca="1" si="20"/>
        <v>0</v>
      </c>
      <c r="S104" s="5">
        <v>0</v>
      </c>
      <c r="T104" s="13"/>
      <c r="U104" s="13"/>
      <c r="V104" s="5" t="str">
        <f t="shared" si="21"/>
        <v>Q3</v>
      </c>
    </row>
    <row r="105" spans="1:22" ht="30">
      <c r="A105" s="23">
        <f t="shared" si="22"/>
        <v>90</v>
      </c>
      <c r="B105" s="5" t="s">
        <v>254</v>
      </c>
      <c r="C105" s="5" t="s">
        <v>42</v>
      </c>
      <c r="D105" s="5" t="s">
        <v>24</v>
      </c>
      <c r="E105" s="24" t="s">
        <v>255</v>
      </c>
      <c r="F105" s="24" t="s">
        <v>257</v>
      </c>
      <c r="G105" s="5" t="s">
        <v>77</v>
      </c>
      <c r="H105" s="5"/>
      <c r="I105" s="5" t="s">
        <v>228</v>
      </c>
      <c r="J105" s="14"/>
      <c r="K105" s="5" t="s">
        <v>61</v>
      </c>
      <c r="L105" s="13" t="s">
        <v>69</v>
      </c>
      <c r="M105" s="5">
        <f t="shared" si="17"/>
        <v>1</v>
      </c>
      <c r="N105" s="15">
        <v>0.75</v>
      </c>
      <c r="O105" s="15">
        <f t="shared" si="23"/>
        <v>0.75</v>
      </c>
      <c r="P105" s="5">
        <f t="shared" si="18"/>
        <v>0.75</v>
      </c>
      <c r="Q105" s="5" t="str">
        <f t="shared" si="19"/>
        <v>Open</v>
      </c>
      <c r="R105" s="5">
        <f t="shared" ca="1" si="20"/>
        <v>0</v>
      </c>
      <c r="S105" s="5">
        <v>0</v>
      </c>
      <c r="T105" s="13"/>
      <c r="U105" s="13"/>
      <c r="V105" s="5" t="str">
        <f t="shared" si="21"/>
        <v>Q3</v>
      </c>
    </row>
    <row r="106" spans="1:22" ht="15">
      <c r="A106" s="23">
        <f t="shared" si="22"/>
        <v>91</v>
      </c>
      <c r="B106" s="5" t="s">
        <v>254</v>
      </c>
      <c r="C106" s="5" t="s">
        <v>42</v>
      </c>
      <c r="D106" s="5" t="s">
        <v>24</v>
      </c>
      <c r="E106" s="24" t="s">
        <v>255</v>
      </c>
      <c r="F106" s="24" t="s">
        <v>258</v>
      </c>
      <c r="G106" s="5" t="s">
        <v>77</v>
      </c>
      <c r="H106" s="5"/>
      <c r="I106" s="5" t="s">
        <v>259</v>
      </c>
      <c r="J106" s="14"/>
      <c r="K106" s="5" t="s">
        <v>61</v>
      </c>
      <c r="L106" s="13" t="s">
        <v>69</v>
      </c>
      <c r="M106" s="5">
        <f t="shared" si="17"/>
        <v>1</v>
      </c>
      <c r="N106" s="15">
        <v>1</v>
      </c>
      <c r="O106" s="15">
        <f t="shared" si="23"/>
        <v>1</v>
      </c>
      <c r="P106" s="5">
        <f t="shared" si="18"/>
        <v>1</v>
      </c>
      <c r="Q106" s="5" t="str">
        <f t="shared" si="19"/>
        <v>Closed</v>
      </c>
      <c r="R106" s="5">
        <f t="shared" ca="1" si="20"/>
        <v>0</v>
      </c>
      <c r="S106" s="5">
        <v>0</v>
      </c>
      <c r="T106" s="13"/>
      <c r="U106" s="13"/>
      <c r="V106" s="5" t="str">
        <f t="shared" si="21"/>
        <v>Q3</v>
      </c>
    </row>
    <row r="107" spans="1:22" ht="30">
      <c r="A107" s="23">
        <f t="shared" si="22"/>
        <v>92</v>
      </c>
      <c r="B107" s="5" t="s">
        <v>260</v>
      </c>
      <c r="C107" s="5" t="s">
        <v>42</v>
      </c>
      <c r="D107" s="5" t="s">
        <v>24</v>
      </c>
      <c r="E107" s="24" t="s">
        <v>261</v>
      </c>
      <c r="F107" s="24" t="s">
        <v>262</v>
      </c>
      <c r="G107" s="5" t="s">
        <v>77</v>
      </c>
      <c r="H107" s="5" t="s">
        <v>77</v>
      </c>
      <c r="I107" s="5" t="s">
        <v>53</v>
      </c>
      <c r="J107" s="14"/>
      <c r="K107" s="5" t="s">
        <v>61</v>
      </c>
      <c r="L107" s="13" t="s">
        <v>69</v>
      </c>
      <c r="M107" s="5">
        <f t="shared" si="17"/>
        <v>1</v>
      </c>
      <c r="N107" s="15">
        <v>0.5</v>
      </c>
      <c r="O107" s="15">
        <f t="shared" si="23"/>
        <v>0.9</v>
      </c>
      <c r="P107" s="5">
        <f t="shared" si="18"/>
        <v>0.9</v>
      </c>
      <c r="Q107" s="5" t="str">
        <f t="shared" si="19"/>
        <v>Open</v>
      </c>
      <c r="R107" s="5">
        <f t="shared" ca="1" si="20"/>
        <v>0</v>
      </c>
      <c r="S107" s="5">
        <v>0</v>
      </c>
      <c r="T107" s="13"/>
      <c r="U107" s="13"/>
      <c r="V107" s="5" t="str">
        <f t="shared" si="21"/>
        <v>Q3</v>
      </c>
    </row>
    <row r="108" spans="1:22" ht="135">
      <c r="A108" s="23">
        <f t="shared" si="22"/>
        <v>93</v>
      </c>
      <c r="B108" s="5" t="s">
        <v>263</v>
      </c>
      <c r="C108" s="5" t="s">
        <v>23</v>
      </c>
      <c r="D108" s="5" t="s">
        <v>24</v>
      </c>
      <c r="E108" s="24" t="s">
        <v>264</v>
      </c>
      <c r="F108" s="24" t="s">
        <v>265</v>
      </c>
      <c r="G108" s="5" t="s">
        <v>77</v>
      </c>
      <c r="H108" s="5"/>
      <c r="I108" s="5" t="s">
        <v>228</v>
      </c>
      <c r="J108" s="14" t="s">
        <v>266</v>
      </c>
      <c r="K108" s="5" t="s">
        <v>47</v>
      </c>
      <c r="L108" s="16">
        <v>46157</v>
      </c>
      <c r="M108" s="5">
        <f t="shared" si="17"/>
        <v>4</v>
      </c>
      <c r="N108" s="15">
        <v>0.75</v>
      </c>
      <c r="O108" s="15">
        <f t="shared" si="23"/>
        <v>0.75</v>
      </c>
      <c r="P108" s="5">
        <f t="shared" si="18"/>
        <v>3</v>
      </c>
      <c r="Q108" s="5" t="str">
        <f t="shared" si="19"/>
        <v>Open</v>
      </c>
      <c r="R108" s="5">
        <f t="shared" ca="1" si="20"/>
        <v>1</v>
      </c>
      <c r="S108" s="5">
        <v>0</v>
      </c>
      <c r="T108" s="13"/>
      <c r="U108" s="13"/>
      <c r="V108" s="5" t="str">
        <f t="shared" si="21"/>
        <v>Q2</v>
      </c>
    </row>
    <row r="109" spans="1:22" ht="45">
      <c r="A109" s="23">
        <f t="shared" si="22"/>
        <v>94</v>
      </c>
      <c r="B109" s="5" t="s">
        <v>267</v>
      </c>
      <c r="C109" s="5" t="s">
        <v>23</v>
      </c>
      <c r="D109" s="5" t="s">
        <v>268</v>
      </c>
      <c r="E109" s="24" t="s">
        <v>269</v>
      </c>
      <c r="F109" s="24" t="s">
        <v>270</v>
      </c>
      <c r="G109" s="5" t="s">
        <v>99</v>
      </c>
      <c r="H109" s="5" t="s">
        <v>28</v>
      </c>
      <c r="I109" s="5" t="s">
        <v>53</v>
      </c>
      <c r="J109" s="14"/>
      <c r="K109" s="5" t="s">
        <v>55</v>
      </c>
      <c r="L109" s="16">
        <v>46190</v>
      </c>
      <c r="M109" s="5">
        <f t="shared" si="17"/>
        <v>2</v>
      </c>
      <c r="N109" s="15">
        <v>0.5</v>
      </c>
      <c r="O109" s="15">
        <f t="shared" si="23"/>
        <v>0.9</v>
      </c>
      <c r="P109" s="5">
        <f t="shared" si="18"/>
        <v>1.8</v>
      </c>
      <c r="Q109" s="5" t="str">
        <f t="shared" si="19"/>
        <v>Open</v>
      </c>
      <c r="R109" s="5">
        <f t="shared" ca="1" si="20"/>
        <v>1</v>
      </c>
      <c r="S109" s="5">
        <v>0</v>
      </c>
      <c r="T109" s="13"/>
      <c r="U109" s="13"/>
      <c r="V109" s="5" t="str">
        <f t="shared" si="21"/>
        <v>Q2</v>
      </c>
    </row>
    <row r="110" spans="1:22" ht="30">
      <c r="A110" s="23">
        <f t="shared" si="22"/>
        <v>95</v>
      </c>
      <c r="B110" s="5" t="s">
        <v>107</v>
      </c>
      <c r="C110" s="5" t="s">
        <v>23</v>
      </c>
      <c r="D110" s="5" t="s">
        <v>24</v>
      </c>
      <c r="E110" s="24" t="s">
        <v>164</v>
      </c>
      <c r="F110" s="24" t="s">
        <v>271</v>
      </c>
      <c r="G110" s="5" t="s">
        <v>27</v>
      </c>
      <c r="H110" s="5" t="s">
        <v>28</v>
      </c>
      <c r="I110" s="5" t="s">
        <v>53</v>
      </c>
      <c r="J110" s="14" t="s">
        <v>272</v>
      </c>
      <c r="K110" s="5" t="s">
        <v>61</v>
      </c>
      <c r="L110" s="16">
        <v>46162</v>
      </c>
      <c r="M110" s="5">
        <f t="shared" si="17"/>
        <v>1</v>
      </c>
      <c r="N110" s="15">
        <v>0.5</v>
      </c>
      <c r="O110" s="15">
        <f t="shared" si="23"/>
        <v>0.9</v>
      </c>
      <c r="P110" s="5">
        <f t="shared" si="18"/>
        <v>0.9</v>
      </c>
      <c r="Q110" s="5" t="str">
        <f t="shared" si="19"/>
        <v>Open</v>
      </c>
      <c r="R110" s="5">
        <f t="shared" ca="1" si="20"/>
        <v>1</v>
      </c>
      <c r="S110" s="5">
        <v>0</v>
      </c>
      <c r="T110" s="13"/>
      <c r="U110" s="13"/>
      <c r="V110" s="5" t="str">
        <f t="shared" si="21"/>
        <v>Q2</v>
      </c>
    </row>
    <row r="111" spans="1:22" ht="75">
      <c r="A111" s="23">
        <f t="shared" si="22"/>
        <v>96</v>
      </c>
      <c r="B111" s="5" t="s">
        <v>273</v>
      </c>
      <c r="C111" s="5" t="s">
        <v>42</v>
      </c>
      <c r="D111" s="5" t="s">
        <v>70</v>
      </c>
      <c r="E111" s="24" t="s">
        <v>174</v>
      </c>
      <c r="F111" s="24" t="s">
        <v>274</v>
      </c>
      <c r="G111" s="5" t="s">
        <v>77</v>
      </c>
      <c r="H111" s="5"/>
      <c r="I111" s="5" t="s">
        <v>228</v>
      </c>
      <c r="J111" s="14" t="s">
        <v>275</v>
      </c>
      <c r="K111" s="5" t="s">
        <v>61</v>
      </c>
      <c r="L111" s="13" t="s">
        <v>69</v>
      </c>
      <c r="M111" s="5">
        <f t="shared" si="17"/>
        <v>1</v>
      </c>
      <c r="N111" s="15">
        <v>0.75</v>
      </c>
      <c r="O111" s="15">
        <f t="shared" si="23"/>
        <v>0.75</v>
      </c>
      <c r="P111" s="5">
        <f t="shared" si="18"/>
        <v>0.75</v>
      </c>
      <c r="Q111" s="5" t="str">
        <f t="shared" si="19"/>
        <v>Open</v>
      </c>
      <c r="R111" s="5">
        <f t="shared" ca="1" si="20"/>
        <v>0</v>
      </c>
      <c r="S111" s="5">
        <v>0</v>
      </c>
      <c r="T111" s="13"/>
      <c r="U111" s="13"/>
      <c r="V111" s="5" t="str">
        <f t="shared" si="21"/>
        <v>Q3</v>
      </c>
    </row>
    <row r="112" spans="1:22" ht="30">
      <c r="A112" s="23">
        <f t="shared" si="22"/>
        <v>97</v>
      </c>
      <c r="B112" s="5" t="s">
        <v>254</v>
      </c>
      <c r="C112" s="5" t="s">
        <v>42</v>
      </c>
      <c r="D112" s="5" t="s">
        <v>57</v>
      </c>
      <c r="E112" s="24" t="s">
        <v>58</v>
      </c>
      <c r="F112" s="24" t="s">
        <v>276</v>
      </c>
      <c r="G112" s="5" t="s">
        <v>77</v>
      </c>
      <c r="H112" s="5"/>
      <c r="I112" s="5" t="s">
        <v>45</v>
      </c>
      <c r="J112" s="14"/>
      <c r="K112" s="5" t="s">
        <v>61</v>
      </c>
      <c r="L112" s="13"/>
      <c r="M112" s="5">
        <f t="shared" ref="M112:M130" si="24">IF(K112="Critical",4,IF(K112="High",3,IF(K112="Medium",2,IF(K112="Low",1,0))))</f>
        <v>1</v>
      </c>
      <c r="N112" s="15">
        <v>1</v>
      </c>
      <c r="O112" s="15">
        <f t="shared" si="23"/>
        <v>1</v>
      </c>
      <c r="P112" s="5">
        <f t="shared" ref="P112:P130" si="25">M112*O112</f>
        <v>1</v>
      </c>
      <c r="Q112" s="5" t="str">
        <f t="shared" ref="Q112:Q130" si="26">IF(OR(I112="Closed Out",I112="Complete",I112="Approved",I112="Reviewed"),"Closed",IF(OR(I112="HOLD",I112="Pause"),"Blocked","Open"))</f>
        <v>Closed</v>
      </c>
      <c r="R112" s="5">
        <f t="shared" ref="R112:R130" ca="1" si="27">IF(AND(Q112="Open",ISNUMBER(L112),L112&lt;TODAY()),1,0)</f>
        <v>0</v>
      </c>
      <c r="S112" s="5">
        <v>0</v>
      </c>
      <c r="T112" s="13"/>
      <c r="U112" s="13"/>
      <c r="V112" s="5" t="str">
        <f t="shared" si="21"/>
        <v>No Date</v>
      </c>
    </row>
    <row r="113" spans="1:22" ht="45">
      <c r="A113" s="23">
        <f t="shared" si="22"/>
        <v>98</v>
      </c>
      <c r="B113" s="5" t="s">
        <v>194</v>
      </c>
      <c r="C113" s="5" t="s">
        <v>23</v>
      </c>
      <c r="D113" s="5" t="s">
        <v>50</v>
      </c>
      <c r="E113" s="24" t="s">
        <v>174</v>
      </c>
      <c r="F113" s="24" t="s">
        <v>277</v>
      </c>
      <c r="G113" s="5" t="s">
        <v>181</v>
      </c>
      <c r="H113" s="5"/>
      <c r="I113" s="5" t="s">
        <v>37</v>
      </c>
      <c r="J113" s="14" t="s">
        <v>278</v>
      </c>
      <c r="K113" s="5" t="s">
        <v>61</v>
      </c>
      <c r="L113" s="13"/>
      <c r="M113" s="5">
        <f t="shared" si="24"/>
        <v>1</v>
      </c>
      <c r="N113" s="15">
        <v>0</v>
      </c>
      <c r="O113" s="15">
        <f t="shared" si="23"/>
        <v>0</v>
      </c>
      <c r="P113" s="5">
        <f t="shared" si="25"/>
        <v>0</v>
      </c>
      <c r="Q113" s="5" t="str">
        <f t="shared" si="26"/>
        <v>Blocked</v>
      </c>
      <c r="R113" s="5">
        <f t="shared" ca="1" si="27"/>
        <v>0</v>
      </c>
      <c r="S113" s="5">
        <v>0</v>
      </c>
      <c r="T113" s="13"/>
      <c r="U113" s="13"/>
      <c r="V113" s="5" t="str">
        <f t="shared" si="21"/>
        <v>No Date</v>
      </c>
    </row>
    <row r="114" spans="1:22" ht="30">
      <c r="A114" s="23">
        <f t="shared" si="22"/>
        <v>99</v>
      </c>
      <c r="B114" s="5" t="s">
        <v>254</v>
      </c>
      <c r="C114" s="5" t="s">
        <v>42</v>
      </c>
      <c r="D114" s="5" t="s">
        <v>57</v>
      </c>
      <c r="E114" s="24" t="s">
        <v>58</v>
      </c>
      <c r="F114" s="24" t="s">
        <v>279</v>
      </c>
      <c r="G114" s="5" t="s">
        <v>77</v>
      </c>
      <c r="H114" s="5"/>
      <c r="I114" s="5" t="s">
        <v>45</v>
      </c>
      <c r="J114" s="14"/>
      <c r="K114" s="5" t="s">
        <v>61</v>
      </c>
      <c r="L114" s="13"/>
      <c r="M114" s="5">
        <f t="shared" si="24"/>
        <v>1</v>
      </c>
      <c r="N114" s="15">
        <v>1</v>
      </c>
      <c r="O114" s="15">
        <f t="shared" si="23"/>
        <v>1</v>
      </c>
      <c r="P114" s="5">
        <f t="shared" si="25"/>
        <v>1</v>
      </c>
      <c r="Q114" s="5" t="str">
        <f t="shared" si="26"/>
        <v>Closed</v>
      </c>
      <c r="R114" s="5">
        <f t="shared" ca="1" si="27"/>
        <v>0</v>
      </c>
      <c r="S114" s="5">
        <v>0</v>
      </c>
      <c r="T114" s="13"/>
      <c r="U114" s="13"/>
      <c r="V114" s="5" t="str">
        <f t="shared" si="21"/>
        <v>No Date</v>
      </c>
    </row>
    <row r="115" spans="1:22" ht="45">
      <c r="A115" s="23">
        <f t="shared" si="22"/>
        <v>100</v>
      </c>
      <c r="B115" s="5" t="s">
        <v>254</v>
      </c>
      <c r="C115" s="5" t="s">
        <v>42</v>
      </c>
      <c r="D115" s="5" t="s">
        <v>57</v>
      </c>
      <c r="E115" s="24" t="s">
        <v>58</v>
      </c>
      <c r="F115" s="24" t="s">
        <v>280</v>
      </c>
      <c r="G115" s="5" t="s">
        <v>77</v>
      </c>
      <c r="H115" s="5"/>
      <c r="I115" s="5" t="s">
        <v>45</v>
      </c>
      <c r="J115" s="14"/>
      <c r="K115" s="5" t="s">
        <v>61</v>
      </c>
      <c r="L115" s="13"/>
      <c r="M115" s="5">
        <f t="shared" si="24"/>
        <v>1</v>
      </c>
      <c r="N115" s="15">
        <v>1</v>
      </c>
      <c r="O115" s="15">
        <f t="shared" si="23"/>
        <v>1</v>
      </c>
      <c r="P115" s="5">
        <f t="shared" si="25"/>
        <v>1</v>
      </c>
      <c r="Q115" s="5" t="str">
        <f t="shared" si="26"/>
        <v>Closed</v>
      </c>
      <c r="R115" s="5">
        <f t="shared" ca="1" si="27"/>
        <v>0</v>
      </c>
      <c r="S115" s="5">
        <v>0</v>
      </c>
      <c r="T115" s="13"/>
      <c r="U115" s="13"/>
      <c r="V115" s="5" t="str">
        <f t="shared" si="21"/>
        <v>No Date</v>
      </c>
    </row>
    <row r="116" spans="1:22" ht="30">
      <c r="A116" s="23">
        <f t="shared" si="22"/>
        <v>101</v>
      </c>
      <c r="B116" s="5" t="s">
        <v>22</v>
      </c>
      <c r="C116" s="5" t="s">
        <v>42</v>
      </c>
      <c r="D116" s="5" t="s">
        <v>70</v>
      </c>
      <c r="E116" s="24" t="s">
        <v>160</v>
      </c>
      <c r="F116" s="24" t="s">
        <v>281</v>
      </c>
      <c r="G116" s="5" t="s">
        <v>77</v>
      </c>
      <c r="H116" s="5"/>
      <c r="I116" s="5" t="s">
        <v>37</v>
      </c>
      <c r="J116" s="14"/>
      <c r="K116" s="5" t="s">
        <v>61</v>
      </c>
      <c r="L116" s="13"/>
      <c r="M116" s="5">
        <f t="shared" si="24"/>
        <v>1</v>
      </c>
      <c r="N116" s="15">
        <v>0</v>
      </c>
      <c r="O116" s="15">
        <f t="shared" si="23"/>
        <v>0</v>
      </c>
      <c r="P116" s="5">
        <f t="shared" si="25"/>
        <v>0</v>
      </c>
      <c r="Q116" s="5" t="str">
        <f t="shared" si="26"/>
        <v>Blocked</v>
      </c>
      <c r="R116" s="5">
        <f t="shared" ca="1" si="27"/>
        <v>0</v>
      </c>
      <c r="S116" s="5">
        <v>0</v>
      </c>
      <c r="T116" s="13"/>
      <c r="U116" s="13"/>
      <c r="V116" s="5" t="str">
        <f t="shared" si="21"/>
        <v>No Date</v>
      </c>
    </row>
    <row r="117" spans="1:22" ht="30">
      <c r="A117" s="23">
        <f t="shared" si="22"/>
        <v>102</v>
      </c>
      <c r="B117" s="5" t="s">
        <v>22</v>
      </c>
      <c r="C117" s="5" t="s">
        <v>42</v>
      </c>
      <c r="D117" s="5" t="s">
        <v>70</v>
      </c>
      <c r="E117" s="24" t="s">
        <v>160</v>
      </c>
      <c r="F117" s="24" t="s">
        <v>282</v>
      </c>
      <c r="G117" s="5" t="s">
        <v>77</v>
      </c>
      <c r="H117" s="5"/>
      <c r="I117" s="5" t="s">
        <v>37</v>
      </c>
      <c r="J117" s="14"/>
      <c r="K117" s="5" t="s">
        <v>61</v>
      </c>
      <c r="L117" s="13"/>
      <c r="M117" s="5">
        <f t="shared" si="24"/>
        <v>1</v>
      </c>
      <c r="N117" s="15">
        <v>0</v>
      </c>
      <c r="O117" s="15">
        <f t="shared" si="23"/>
        <v>0</v>
      </c>
      <c r="P117" s="5">
        <f t="shared" si="25"/>
        <v>0</v>
      </c>
      <c r="Q117" s="5" t="str">
        <f t="shared" si="26"/>
        <v>Blocked</v>
      </c>
      <c r="R117" s="5">
        <f t="shared" ca="1" si="27"/>
        <v>0</v>
      </c>
      <c r="S117" s="5">
        <v>0</v>
      </c>
      <c r="T117" s="13"/>
      <c r="U117" s="13"/>
      <c r="V117" s="5" t="str">
        <f t="shared" si="21"/>
        <v>No Date</v>
      </c>
    </row>
    <row r="118" spans="1:22" ht="30">
      <c r="A118" s="23">
        <f t="shared" si="22"/>
        <v>103</v>
      </c>
      <c r="B118" s="5" t="s">
        <v>22</v>
      </c>
      <c r="C118" s="5" t="s">
        <v>42</v>
      </c>
      <c r="D118" s="5" t="s">
        <v>70</v>
      </c>
      <c r="E118" s="24" t="s">
        <v>160</v>
      </c>
      <c r="F118" s="24" t="s">
        <v>283</v>
      </c>
      <c r="G118" s="5" t="s">
        <v>77</v>
      </c>
      <c r="H118" s="5"/>
      <c r="I118" s="5" t="s">
        <v>37</v>
      </c>
      <c r="J118" s="14"/>
      <c r="K118" s="5" t="s">
        <v>61</v>
      </c>
      <c r="L118" s="13"/>
      <c r="M118" s="5">
        <f t="shared" si="24"/>
        <v>1</v>
      </c>
      <c r="N118" s="15">
        <v>0</v>
      </c>
      <c r="O118" s="15">
        <f t="shared" si="23"/>
        <v>0</v>
      </c>
      <c r="P118" s="5">
        <f t="shared" si="25"/>
        <v>0</v>
      </c>
      <c r="Q118" s="5" t="str">
        <f t="shared" si="26"/>
        <v>Blocked</v>
      </c>
      <c r="R118" s="5">
        <f t="shared" ca="1" si="27"/>
        <v>0</v>
      </c>
      <c r="S118" s="5">
        <v>0</v>
      </c>
      <c r="T118" s="13"/>
      <c r="U118" s="13"/>
      <c r="V118" s="5" t="str">
        <f t="shared" si="21"/>
        <v>No Date</v>
      </c>
    </row>
    <row r="119" spans="1:22" ht="30">
      <c r="A119" s="23">
        <f t="shared" si="22"/>
        <v>104</v>
      </c>
      <c r="B119" s="5" t="s">
        <v>22</v>
      </c>
      <c r="C119" s="5" t="s">
        <v>42</v>
      </c>
      <c r="D119" s="5" t="s">
        <v>70</v>
      </c>
      <c r="E119" s="24" t="s">
        <v>160</v>
      </c>
      <c r="F119" s="24" t="s">
        <v>284</v>
      </c>
      <c r="G119" s="5" t="s">
        <v>77</v>
      </c>
      <c r="H119" s="5"/>
      <c r="I119" s="5" t="s">
        <v>37</v>
      </c>
      <c r="J119" s="14"/>
      <c r="K119" s="5" t="s">
        <v>61</v>
      </c>
      <c r="L119" s="13"/>
      <c r="M119" s="5">
        <f t="shared" si="24"/>
        <v>1</v>
      </c>
      <c r="N119" s="15">
        <v>0</v>
      </c>
      <c r="O119" s="15">
        <f t="shared" si="23"/>
        <v>0</v>
      </c>
      <c r="P119" s="5">
        <f t="shared" si="25"/>
        <v>0</v>
      </c>
      <c r="Q119" s="5" t="str">
        <f t="shared" si="26"/>
        <v>Blocked</v>
      </c>
      <c r="R119" s="5">
        <f t="shared" ca="1" si="27"/>
        <v>0</v>
      </c>
      <c r="S119" s="5">
        <v>0</v>
      </c>
      <c r="T119" s="13"/>
      <c r="U119" s="13"/>
      <c r="V119" s="5" t="str">
        <f t="shared" si="21"/>
        <v>No Date</v>
      </c>
    </row>
    <row r="120" spans="1:22" ht="60">
      <c r="A120" s="23">
        <f t="shared" si="22"/>
        <v>105</v>
      </c>
      <c r="B120" s="5" t="s">
        <v>73</v>
      </c>
      <c r="C120" s="5" t="s">
        <v>42</v>
      </c>
      <c r="D120" s="5" t="s">
        <v>70</v>
      </c>
      <c r="E120" s="24" t="s">
        <v>103</v>
      </c>
      <c r="F120" s="24" t="s">
        <v>285</v>
      </c>
      <c r="G120" s="5" t="s">
        <v>77</v>
      </c>
      <c r="H120" s="5"/>
      <c r="I120" s="5" t="s">
        <v>45</v>
      </c>
      <c r="J120" s="14"/>
      <c r="K120" s="5" t="s">
        <v>61</v>
      </c>
      <c r="L120" s="13"/>
      <c r="M120" s="5">
        <f t="shared" si="24"/>
        <v>1</v>
      </c>
      <c r="N120" s="15">
        <v>1</v>
      </c>
      <c r="O120" s="15">
        <f t="shared" si="23"/>
        <v>1</v>
      </c>
      <c r="P120" s="5">
        <f t="shared" si="25"/>
        <v>1</v>
      </c>
      <c r="Q120" s="5" t="str">
        <f t="shared" si="26"/>
        <v>Closed</v>
      </c>
      <c r="R120" s="5">
        <f t="shared" ca="1" si="27"/>
        <v>0</v>
      </c>
      <c r="S120" s="5">
        <v>0</v>
      </c>
      <c r="T120" s="13"/>
      <c r="U120" s="13"/>
      <c r="V120" s="5" t="str">
        <f t="shared" si="21"/>
        <v>No Date</v>
      </c>
    </row>
    <row r="121" spans="1:22" ht="45">
      <c r="A121" s="23">
        <f t="shared" si="22"/>
        <v>106</v>
      </c>
      <c r="B121" s="5" t="s">
        <v>73</v>
      </c>
      <c r="C121" s="5" t="s">
        <v>42</v>
      </c>
      <c r="D121" s="5" t="s">
        <v>70</v>
      </c>
      <c r="E121" s="24" t="s">
        <v>74</v>
      </c>
      <c r="F121" s="24" t="s">
        <v>286</v>
      </c>
      <c r="G121" s="5" t="s">
        <v>77</v>
      </c>
      <c r="H121" s="5"/>
      <c r="I121" s="5" t="s">
        <v>45</v>
      </c>
      <c r="J121" s="14"/>
      <c r="K121" s="5" t="s">
        <v>61</v>
      </c>
      <c r="L121" s="13"/>
      <c r="M121" s="5">
        <f t="shared" si="24"/>
        <v>1</v>
      </c>
      <c r="N121" s="15">
        <v>1</v>
      </c>
      <c r="O121" s="15">
        <f t="shared" si="23"/>
        <v>1</v>
      </c>
      <c r="P121" s="5">
        <f t="shared" si="25"/>
        <v>1</v>
      </c>
      <c r="Q121" s="5" t="str">
        <f t="shared" si="26"/>
        <v>Closed</v>
      </c>
      <c r="R121" s="5">
        <f t="shared" ca="1" si="27"/>
        <v>0</v>
      </c>
      <c r="S121" s="5">
        <v>0</v>
      </c>
      <c r="T121" s="13"/>
      <c r="U121" s="13"/>
      <c r="V121" s="5" t="str">
        <f t="shared" si="21"/>
        <v>No Date</v>
      </c>
    </row>
    <row r="122" spans="1:22" ht="30">
      <c r="A122" s="23">
        <f t="shared" si="22"/>
        <v>107</v>
      </c>
      <c r="B122" s="5" t="s">
        <v>73</v>
      </c>
      <c r="C122" s="5" t="s">
        <v>42</v>
      </c>
      <c r="D122" s="5" t="s">
        <v>70</v>
      </c>
      <c r="E122" s="24" t="s">
        <v>74</v>
      </c>
      <c r="F122" s="24" t="s">
        <v>287</v>
      </c>
      <c r="G122" s="5" t="s">
        <v>77</v>
      </c>
      <c r="H122" s="5"/>
      <c r="I122" s="5" t="s">
        <v>45</v>
      </c>
      <c r="J122" s="14"/>
      <c r="K122" s="5" t="s">
        <v>61</v>
      </c>
      <c r="L122" s="13"/>
      <c r="M122" s="5">
        <f t="shared" si="24"/>
        <v>1</v>
      </c>
      <c r="N122" s="15">
        <v>1</v>
      </c>
      <c r="O122" s="15">
        <f t="shared" si="23"/>
        <v>1</v>
      </c>
      <c r="P122" s="5">
        <f t="shared" si="25"/>
        <v>1</v>
      </c>
      <c r="Q122" s="5" t="str">
        <f t="shared" si="26"/>
        <v>Closed</v>
      </c>
      <c r="R122" s="5">
        <f t="shared" ca="1" si="27"/>
        <v>0</v>
      </c>
      <c r="S122" s="5">
        <v>0</v>
      </c>
      <c r="T122" s="13"/>
      <c r="U122" s="13"/>
      <c r="V122" s="5" t="str">
        <f t="shared" si="21"/>
        <v>No Date</v>
      </c>
    </row>
    <row r="123" spans="1:22" ht="30">
      <c r="A123" s="23">
        <f t="shared" si="22"/>
        <v>108</v>
      </c>
      <c r="B123" s="5" t="s">
        <v>254</v>
      </c>
      <c r="C123" s="5" t="s">
        <v>42</v>
      </c>
      <c r="D123" s="5" t="s">
        <v>70</v>
      </c>
      <c r="E123" s="24" t="s">
        <v>255</v>
      </c>
      <c r="F123" s="24" t="s">
        <v>288</v>
      </c>
      <c r="G123" s="5" t="s">
        <v>77</v>
      </c>
      <c r="H123" s="5"/>
      <c r="I123" s="5" t="s">
        <v>45</v>
      </c>
      <c r="J123" s="14"/>
      <c r="K123" s="5" t="s">
        <v>61</v>
      </c>
      <c r="L123" s="13"/>
      <c r="M123" s="5">
        <f t="shared" si="24"/>
        <v>1</v>
      </c>
      <c r="N123" s="15">
        <v>1</v>
      </c>
      <c r="O123" s="15">
        <f t="shared" si="23"/>
        <v>1</v>
      </c>
      <c r="P123" s="5">
        <f t="shared" si="25"/>
        <v>1</v>
      </c>
      <c r="Q123" s="5" t="str">
        <f t="shared" si="26"/>
        <v>Closed</v>
      </c>
      <c r="R123" s="5">
        <f t="shared" ca="1" si="27"/>
        <v>0</v>
      </c>
      <c r="S123" s="5">
        <v>0</v>
      </c>
      <c r="T123" s="13"/>
      <c r="U123" s="13"/>
      <c r="V123" s="5" t="str">
        <f t="shared" si="21"/>
        <v>No Date</v>
      </c>
    </row>
    <row r="124" spans="1:22" ht="30">
      <c r="A124" s="23">
        <f t="shared" si="22"/>
        <v>109</v>
      </c>
      <c r="B124" s="5" t="s">
        <v>289</v>
      </c>
      <c r="C124" s="5" t="s">
        <v>42</v>
      </c>
      <c r="D124" s="5" t="s">
        <v>70</v>
      </c>
      <c r="E124" s="24" t="s">
        <v>62</v>
      </c>
      <c r="F124" s="24" t="s">
        <v>290</v>
      </c>
      <c r="G124" s="5" t="s">
        <v>77</v>
      </c>
      <c r="H124" s="5"/>
      <c r="I124" s="5" t="s">
        <v>259</v>
      </c>
      <c r="J124" s="14"/>
      <c r="K124" s="5" t="s">
        <v>55</v>
      </c>
      <c r="L124" s="13" t="s">
        <v>69</v>
      </c>
      <c r="M124" s="5">
        <f t="shared" si="24"/>
        <v>2</v>
      </c>
      <c r="N124" s="15">
        <v>1</v>
      </c>
      <c r="O124" s="15">
        <f t="shared" si="23"/>
        <v>1</v>
      </c>
      <c r="P124" s="5">
        <f t="shared" si="25"/>
        <v>2</v>
      </c>
      <c r="Q124" s="5" t="str">
        <f t="shared" si="26"/>
        <v>Closed</v>
      </c>
      <c r="R124" s="5">
        <f t="shared" ca="1" si="27"/>
        <v>0</v>
      </c>
      <c r="S124" s="5">
        <v>0</v>
      </c>
      <c r="T124" s="13"/>
      <c r="U124" s="13"/>
      <c r="V124" s="5" t="str">
        <f t="shared" si="21"/>
        <v>Q3</v>
      </c>
    </row>
    <row r="125" spans="1:22" ht="45">
      <c r="A125" s="23">
        <f t="shared" si="22"/>
        <v>110</v>
      </c>
      <c r="B125" s="5" t="s">
        <v>110</v>
      </c>
      <c r="C125" s="5" t="s">
        <v>42</v>
      </c>
      <c r="D125" s="5" t="s">
        <v>70</v>
      </c>
      <c r="E125" s="24" t="s">
        <v>103</v>
      </c>
      <c r="F125" s="24" t="s">
        <v>291</v>
      </c>
      <c r="G125" s="5" t="s">
        <v>77</v>
      </c>
      <c r="H125" s="5"/>
      <c r="I125" s="5" t="s">
        <v>147</v>
      </c>
      <c r="J125" s="14" t="s">
        <v>292</v>
      </c>
      <c r="K125" s="5" t="s">
        <v>47</v>
      </c>
      <c r="L125" s="13" t="s">
        <v>69</v>
      </c>
      <c r="M125" s="5">
        <f t="shared" si="24"/>
        <v>4</v>
      </c>
      <c r="N125" s="15">
        <v>0.25</v>
      </c>
      <c r="O125" s="15">
        <f t="shared" si="23"/>
        <v>0.25</v>
      </c>
      <c r="P125" s="5">
        <f t="shared" si="25"/>
        <v>1</v>
      </c>
      <c r="Q125" s="5" t="str">
        <f t="shared" si="26"/>
        <v>Open</v>
      </c>
      <c r="R125" s="5">
        <f t="shared" ca="1" si="27"/>
        <v>0</v>
      </c>
      <c r="S125" s="5">
        <v>0</v>
      </c>
      <c r="T125" s="13"/>
      <c r="U125" s="13"/>
      <c r="V125" s="5" t="str">
        <f t="shared" si="21"/>
        <v>Q3</v>
      </c>
    </row>
    <row r="126" spans="1:22" ht="30">
      <c r="A126" s="23">
        <f t="shared" si="22"/>
        <v>111</v>
      </c>
      <c r="B126" s="5" t="s">
        <v>263</v>
      </c>
      <c r="C126" s="5" t="s">
        <v>23</v>
      </c>
      <c r="D126" s="5" t="s">
        <v>24</v>
      </c>
      <c r="E126" s="24" t="s">
        <v>264</v>
      </c>
      <c r="F126" s="24" t="s">
        <v>293</v>
      </c>
      <c r="G126" s="5" t="s">
        <v>77</v>
      </c>
      <c r="H126" s="5"/>
      <c r="I126" s="5" t="s">
        <v>72</v>
      </c>
      <c r="J126" s="14" t="s">
        <v>294</v>
      </c>
      <c r="K126" s="5" t="s">
        <v>47</v>
      </c>
      <c r="L126" s="13"/>
      <c r="M126" s="5">
        <f t="shared" si="24"/>
        <v>4</v>
      </c>
      <c r="N126" s="15">
        <v>0</v>
      </c>
      <c r="O126" s="15">
        <f t="shared" si="23"/>
        <v>0</v>
      </c>
      <c r="P126" s="5">
        <f t="shared" si="25"/>
        <v>0</v>
      </c>
      <c r="Q126" s="5" t="str">
        <f t="shared" si="26"/>
        <v>Open</v>
      </c>
      <c r="R126" s="5">
        <f t="shared" ca="1" si="27"/>
        <v>0</v>
      </c>
      <c r="S126" s="5">
        <v>0</v>
      </c>
      <c r="T126" s="13"/>
      <c r="U126" s="13"/>
      <c r="V126" s="5" t="str">
        <f t="shared" si="21"/>
        <v>No Date</v>
      </c>
    </row>
    <row r="127" spans="1:22" ht="45">
      <c r="A127" s="23">
        <f t="shared" si="22"/>
        <v>112</v>
      </c>
      <c r="B127" s="5" t="s">
        <v>115</v>
      </c>
      <c r="C127" s="5" t="s">
        <v>23</v>
      </c>
      <c r="D127" s="5" t="s">
        <v>24</v>
      </c>
      <c r="E127" s="24" t="s">
        <v>80</v>
      </c>
      <c r="F127" s="24" t="s">
        <v>295</v>
      </c>
      <c r="G127" s="5" t="s">
        <v>27</v>
      </c>
      <c r="H127" s="5" t="s">
        <v>28</v>
      </c>
      <c r="I127" s="5" t="s">
        <v>53</v>
      </c>
      <c r="J127" s="14" t="s">
        <v>296</v>
      </c>
      <c r="K127" s="5" t="s">
        <v>61</v>
      </c>
      <c r="L127" s="16">
        <v>46177</v>
      </c>
      <c r="M127" s="5">
        <f t="shared" si="24"/>
        <v>1</v>
      </c>
      <c r="N127" s="15">
        <v>0.5</v>
      </c>
      <c r="O127" s="15">
        <f t="shared" si="23"/>
        <v>0.9</v>
      </c>
      <c r="P127" s="5">
        <f t="shared" si="25"/>
        <v>0.9</v>
      </c>
      <c r="Q127" s="5" t="str">
        <f t="shared" si="26"/>
        <v>Open</v>
      </c>
      <c r="R127" s="5">
        <f t="shared" ca="1" si="27"/>
        <v>1</v>
      </c>
      <c r="S127" s="5">
        <v>0</v>
      </c>
      <c r="T127" s="13"/>
      <c r="U127" s="13"/>
      <c r="V127" s="5" t="str">
        <f t="shared" si="21"/>
        <v>Q2</v>
      </c>
    </row>
    <row r="128" spans="1:22" ht="105">
      <c r="A128" s="23">
        <f t="shared" si="22"/>
        <v>113</v>
      </c>
      <c r="B128" s="5" t="s">
        <v>221</v>
      </c>
      <c r="C128" s="5" t="s">
        <v>23</v>
      </c>
      <c r="D128" s="5" t="s">
        <v>96</v>
      </c>
      <c r="E128" s="24" t="s">
        <v>97</v>
      </c>
      <c r="F128" s="24" t="s">
        <v>225</v>
      </c>
      <c r="G128" s="5" t="s">
        <v>99</v>
      </c>
      <c r="H128" s="5"/>
      <c r="I128" s="5" t="s">
        <v>29</v>
      </c>
      <c r="J128" s="14" t="s">
        <v>297</v>
      </c>
      <c r="K128" s="5" t="s">
        <v>61</v>
      </c>
      <c r="L128" s="13" t="s">
        <v>69</v>
      </c>
      <c r="M128" s="5">
        <f t="shared" si="24"/>
        <v>1</v>
      </c>
      <c r="N128" s="15">
        <v>0.25</v>
      </c>
      <c r="O128" s="15">
        <f t="shared" si="23"/>
        <v>0.25</v>
      </c>
      <c r="P128" s="5">
        <f t="shared" si="25"/>
        <v>0.25</v>
      </c>
      <c r="Q128" s="5" t="str">
        <f t="shared" si="26"/>
        <v>Open</v>
      </c>
      <c r="R128" s="5">
        <f t="shared" ca="1" si="27"/>
        <v>0</v>
      </c>
      <c r="S128" s="5">
        <v>0</v>
      </c>
      <c r="T128" s="13"/>
      <c r="U128" s="13"/>
      <c r="V128" s="5" t="str">
        <f t="shared" si="21"/>
        <v>Q3</v>
      </c>
    </row>
    <row r="129" spans="1:22" ht="45">
      <c r="A129" s="23">
        <f t="shared" si="22"/>
        <v>114</v>
      </c>
      <c r="B129" s="5" t="s">
        <v>110</v>
      </c>
      <c r="C129" s="5" t="s">
        <v>23</v>
      </c>
      <c r="D129" s="5" t="s">
        <v>70</v>
      </c>
      <c r="E129" s="24" t="s">
        <v>51</v>
      </c>
      <c r="F129" s="24" t="s">
        <v>298</v>
      </c>
      <c r="G129" s="5" t="s">
        <v>27</v>
      </c>
      <c r="H129" s="5" t="s">
        <v>28</v>
      </c>
      <c r="I129" s="5" t="s">
        <v>29</v>
      </c>
      <c r="J129" s="14" t="s">
        <v>299</v>
      </c>
      <c r="K129" s="5" t="s">
        <v>55</v>
      </c>
      <c r="L129" s="16">
        <v>46209</v>
      </c>
      <c r="M129" s="5">
        <f t="shared" si="24"/>
        <v>2</v>
      </c>
      <c r="N129" s="15">
        <v>0.25</v>
      </c>
      <c r="O129" s="15">
        <f t="shared" si="23"/>
        <v>0.25</v>
      </c>
      <c r="P129" s="5">
        <f t="shared" si="25"/>
        <v>0.5</v>
      </c>
      <c r="Q129" s="5" t="str">
        <f t="shared" si="26"/>
        <v>Open</v>
      </c>
      <c r="R129" s="5">
        <f t="shared" ca="1" si="27"/>
        <v>1</v>
      </c>
      <c r="S129" s="5">
        <v>0</v>
      </c>
      <c r="T129" s="13"/>
      <c r="U129" s="13"/>
      <c r="V129" s="5" t="str">
        <f t="shared" si="21"/>
        <v>Q3</v>
      </c>
    </row>
    <row r="130" spans="1:22" ht="45">
      <c r="A130" s="23">
        <f t="shared" si="22"/>
        <v>115</v>
      </c>
      <c r="B130" s="5" t="s">
        <v>22</v>
      </c>
      <c r="C130" s="5" t="s">
        <v>49</v>
      </c>
      <c r="D130" s="5" t="s">
        <v>102</v>
      </c>
      <c r="E130" s="24" t="s">
        <v>160</v>
      </c>
      <c r="F130" s="24" t="s">
        <v>161</v>
      </c>
      <c r="G130" s="5" t="s">
        <v>105</v>
      </c>
      <c r="H130" s="5" t="s">
        <v>28</v>
      </c>
      <c r="I130" s="5" t="s">
        <v>91</v>
      </c>
      <c r="J130" s="14" t="s">
        <v>300</v>
      </c>
      <c r="K130" s="5" t="s">
        <v>31</v>
      </c>
      <c r="L130" s="13" t="s">
        <v>143</v>
      </c>
      <c r="M130" s="5">
        <f t="shared" si="24"/>
        <v>3</v>
      </c>
      <c r="N130" s="15">
        <v>0.5</v>
      </c>
      <c r="O130" s="15">
        <f t="shared" si="23"/>
        <v>0.5</v>
      </c>
      <c r="P130" s="5">
        <f t="shared" si="25"/>
        <v>1.5</v>
      </c>
      <c r="Q130" s="5" t="str">
        <f t="shared" si="26"/>
        <v>Open</v>
      </c>
      <c r="R130" s="5">
        <f t="shared" ca="1" si="27"/>
        <v>0</v>
      </c>
      <c r="S130" s="5">
        <v>0</v>
      </c>
      <c r="T130" s="13"/>
      <c r="U130" s="13"/>
      <c r="V130" s="5" t="str">
        <f t="shared" si="21"/>
        <v>Q2</v>
      </c>
    </row>
    <row r="131" spans="1:22" ht="30">
      <c r="A131" s="23">
        <f t="shared" si="22"/>
        <v>116</v>
      </c>
      <c r="B131" s="25" t="s">
        <v>301</v>
      </c>
      <c r="C131" s="25" t="s">
        <v>23</v>
      </c>
      <c r="D131" s="25" t="s">
        <v>122</v>
      </c>
      <c r="E131" s="31" t="s">
        <v>97</v>
      </c>
      <c r="F131" s="31" t="s">
        <v>302</v>
      </c>
      <c r="G131" s="25" t="s">
        <v>99</v>
      </c>
      <c r="H131" s="25" t="s">
        <v>196</v>
      </c>
      <c r="I131" s="25" t="s">
        <v>53</v>
      </c>
      <c r="J131" s="32"/>
      <c r="K131" s="25" t="s">
        <v>55</v>
      </c>
      <c r="L131" s="34">
        <v>46191</v>
      </c>
      <c r="M131" s="25">
        <v>1</v>
      </c>
      <c r="N131" s="33">
        <v>0</v>
      </c>
      <c r="O131" s="33">
        <f>IF(N131="",IF(I131="Closed Out",1,IF(I131="Complete",1,IF(I131="Approved",1,IF(I131="Reviewed",1,IF(I131="In Review",0.9,IF(I131="75% Complete",0.75,IF(I131="50% Complete",0.5,IF(I131="25% Complete",0.25,IF(I131="Started",0.25,0))))))))),MAX(IF(I131="Closed Out",1,IF(I131="Complete",1,IF(I131="Approved",1,IF(I131="Reviewed",1,IF(I131="In Review",0.9,IF(I131="75% Complete",0.75,IF(I131="50% Complete",0.5,IF(I131="25% Complete",0.25,IF(I131="Started",0.25,0))))))))),N131))</f>
        <v>0.9</v>
      </c>
      <c r="P131" s="5">
        <f>M131*O131</f>
        <v>0.9</v>
      </c>
      <c r="Q131" s="5" t="str">
        <f>IF(OR(I131="Closed Out",I131="Complete",I131="Approved",I131="Reviewed"),"Closed",IF(OR(I131="HOLD",I131="Pause"),"Blocked","Open"))</f>
        <v>Open</v>
      </c>
      <c r="R131" s="5">
        <f ca="1">IF(AND(Q131="Open",ISNUMBER(L131),L131&lt;TODAY()),1,0)</f>
        <v>1</v>
      </c>
      <c r="S131" s="5">
        <v>1</v>
      </c>
      <c r="T131" s="13"/>
      <c r="U131" s="13"/>
      <c r="V131" s="5" t="str">
        <f>IF(ISNUMBER(L131),"Q"&amp;ROUNDUP(MONTH(L131)/3,0),IF(LEFT(TRIM(CLEAN(L131)),1)="Q","Q"&amp;VALUE(RIGHT(TRIM(CLEAN(L131)),1)),"No Date"))</f>
        <v>Q2</v>
      </c>
    </row>
    <row r="132" spans="1:22" ht="30" customHeight="1">
      <c r="A132" s="23">
        <f t="shared" si="22"/>
        <v>117</v>
      </c>
      <c r="B132" s="25" t="s">
        <v>110</v>
      </c>
      <c r="C132" s="25" t="s">
        <v>42</v>
      </c>
      <c r="D132" s="25" t="s">
        <v>123</v>
      </c>
      <c r="E132" s="25" t="s">
        <v>118</v>
      </c>
      <c r="F132" s="40" t="s">
        <v>303</v>
      </c>
      <c r="G132" s="25" t="s">
        <v>126</v>
      </c>
      <c r="H132" s="25" t="s">
        <v>77</v>
      </c>
      <c r="I132" s="25" t="s">
        <v>53</v>
      </c>
      <c r="K132" s="25" t="s">
        <v>61</v>
      </c>
      <c r="O132">
        <f>IF(N132="",IF(I132="Closed Out",1,IF(I132="Complete",1,IF(I132="Approved",1,IF(I132="Reviewed",1,IF(I132="In Review",0.9,IF(I132="75% Complete",0.75,IF(I132="50% Complete",0.5,IF(I132="25% Complete",0.25,IF(I132="Started",0.25,0))))))))),MAX(IF(I132="Closed Out",1,IF(I132="Complete",1,IF(I132="Approved",1,IF(I132="Reviewed",1,IF(I132="In Review",0.9,IF(I132="75% Complete",0.75,IF(I132="50% Complete",0.5,IF(I132="25% Complete",0.25,IF(I132="Started",0.25,0))))))))),N132))</f>
        <v>0.9</v>
      </c>
      <c r="V132" t="str">
        <f>IF(ISNUMBER(L132),"Q"&amp;ROUNDUP(MONTH(L132)/3,0),IF(LEFT(TRIM(CLEAN(L132)),1)="Q","Q"&amp;VALUE(RIGHT(TRIM(CLEAN(L132)),1)),"No Date"))</f>
        <v>No Date</v>
      </c>
    </row>
    <row r="133" spans="1:22" ht="45">
      <c r="A133" s="23">
        <f t="shared" si="22"/>
        <v>118</v>
      </c>
      <c r="B133" s="5" t="s">
        <v>22</v>
      </c>
      <c r="C133" s="5" t="s">
        <v>23</v>
      </c>
      <c r="D133" s="5" t="s">
        <v>96</v>
      </c>
      <c r="E133" s="24" t="s">
        <v>97</v>
      </c>
      <c r="F133" s="24" t="s">
        <v>304</v>
      </c>
      <c r="G133" s="5" t="s">
        <v>99</v>
      </c>
      <c r="H133" s="5" t="s">
        <v>105</v>
      </c>
      <c r="I133" s="5" t="s">
        <v>147</v>
      </c>
      <c r="J133" s="14" t="s">
        <v>305</v>
      </c>
      <c r="K133" s="5" t="s">
        <v>31</v>
      </c>
      <c r="L133" s="16" t="s">
        <v>69</v>
      </c>
      <c r="M133" s="5">
        <f t="shared" ref="M133" si="28">IF(K133="Critical",4,IF(K133="High",3,IF(K133="Medium",2,IF(K133="Low",1,0))))</f>
        <v>3</v>
      </c>
      <c r="N133" s="15">
        <v>0</v>
      </c>
      <c r="O133" s="15">
        <f t="shared" ref="O133" si="29">IF(N133="",IF(I133="Closed Out",1,IF(I133="Complete",1,IF(I133="Approved",1,IF(I133="Reviewed",1,IF(I133="In Review",0.9,IF(I133="75% Complete",0.75,IF(I133="50% Complete",0.5,IF(I133="25% Complete",0.25,IF(I133="Started",0.25,0))))))))),MAX(IF(I133="Closed Out",1,IF(I133="Complete",1,IF(I133="Approved",1,IF(I133="Reviewed",1,IF(I133="In Review",0.9,IF(I133="75% Complete",0.75,IF(I133="50% Complete",0.5,IF(I133="25% Complete",0.25,IF(I133="Started",0.25,0))))))))),N133))</f>
        <v>0.25</v>
      </c>
      <c r="P133" s="5">
        <f t="shared" ref="P133" si="30">M133*O133</f>
        <v>0.75</v>
      </c>
      <c r="Q133" s="5" t="str">
        <f t="shared" ref="Q133" si="31">IF(OR(I133="Closed Out",I133="Complete",I133="Approved",I133="Reviewed"),"Closed",IF(OR(I133="HOLD",I133="Pause"),"Blocked","Open"))</f>
        <v>Open</v>
      </c>
      <c r="R133" s="5">
        <f t="shared" ref="R133" ca="1" si="32">IF(AND(Q133="Open",ISNUMBER(L133),L133&lt;TODAY()),1,0)</f>
        <v>0</v>
      </c>
      <c r="S133" s="5">
        <v>0</v>
      </c>
      <c r="T133" s="13"/>
      <c r="U133" s="13"/>
      <c r="V133" s="5" t="str">
        <f t="shared" ref="V133" si="33">IF(ISNUMBER(L133),"Q"&amp;ROUNDUP(MONTH(L133)/3,0),IF(LEFT(TRIM(CLEAN(L133)),1)="Q","Q"&amp;VALUE(RIGHT(TRIM(CLEAN(L133)),1)),"No Date"))</f>
        <v>Q3</v>
      </c>
    </row>
    <row r="134" spans="1:22" ht="15">
      <c r="A134" s="23">
        <f t="shared" si="22"/>
        <v>119</v>
      </c>
    </row>
    <row r="135" spans="1:22">
      <c r="A135" s="23">
        <f>IF(A134="Item #",1,A134+1)</f>
        <v>120</v>
      </c>
      <c r="O135">
        <f>IF(N135="",IF(I135="Closed Out",1,IF(I135="Complete",1,IF(I135="Approved",1,IF(I135="Reviewed",1,IF(I135="In Review",0.9,IF(I135="75% Complete",0.75,IF(I135="50% Complete",0.5,IF(I135="25% Complete",0.25,IF(I135="Started",0.25,0))))))))),MAX(IF(I135="Closed Out",1,IF(I135="Complete",1,IF(I135="Approved",1,IF(I135="Reviewed",1,IF(I135="In Review",0.9,IF(I135="75% Complete",0.75,IF(I135="50% Complete",0.5,IF(I135="25% Complete",0.25,IF(I135="Started",0.25,0))))))))),N135))</f>
        <v>0</v>
      </c>
      <c r="V135" t="str">
        <f>IF(ISNUMBER(L135),"Q"&amp;ROUNDUP(MONTH(L135)/3,0),IF(LEFT(TRIM(CLEAN(L135)),1)="Q","Q"&amp;VALUE(RIGHT(TRIM(CLEAN(L135)),1)),"No Date"))</f>
        <v>No Date</v>
      </c>
    </row>
  </sheetData>
  <conditionalFormatting sqref="K2:K133">
    <cfRule type="expression" dxfId="17" priority="1">
      <formula>$K2="Critical"</formula>
    </cfRule>
    <cfRule type="expression" dxfId="16" priority="2">
      <formula>$K2="High"</formula>
    </cfRule>
  </conditionalFormatting>
  <conditionalFormatting sqref="N2:N133">
    <cfRule type="colorScale" priority="6">
      <colorScale>
        <cfvo type="num" val="0"/>
        <cfvo type="num" val="0.5"/>
        <cfvo type="num" val="1"/>
        <color rgb="FFF8696B"/>
        <color rgb="FFFFEB84"/>
        <color rgb="FF63BE7B"/>
      </colorScale>
    </cfRule>
  </conditionalFormatting>
  <conditionalFormatting sqref="Q2:Q133">
    <cfRule type="expression" dxfId="15" priority="3">
      <formula>$Q2="Blocked"</formula>
    </cfRule>
    <cfRule type="expression" dxfId="14" priority="4">
      <formula>$Q2="Closed"</formula>
    </cfRule>
  </conditionalFormatting>
  <conditionalFormatting sqref="R2:R133">
    <cfRule type="cellIs" dxfId="13" priority="5" operator="equal">
      <formula>1</formula>
    </cfRule>
  </conditionalFormatting>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8">
        <x14:dataValidation type="list" allowBlank="1" xr:uid="{00000000-0002-0000-0200-000000000000}">
          <x14:formula1>
            <xm:f>Lookup!$A$5:$A$45</xm:f>
          </x14:formula1>
          <xm:sqref>B2:B133</xm:sqref>
        </x14:dataValidation>
        <x14:dataValidation type="list" allowBlank="1" xr:uid="{00000000-0002-0000-0200-000001000000}">
          <x14:formula1>
            <xm:f>Lookup!$B$5:$B$45</xm:f>
          </x14:formula1>
          <xm:sqref>C2:C133</xm:sqref>
        </x14:dataValidation>
        <x14:dataValidation type="list" allowBlank="1" xr:uid="{00000000-0002-0000-0200-000002000000}">
          <x14:formula1>
            <xm:f>Lookup!$C$5:$C$45</xm:f>
          </x14:formula1>
          <xm:sqref>D2:D133</xm:sqref>
        </x14:dataValidation>
        <x14:dataValidation type="list" allowBlank="1" xr:uid="{00000000-0002-0000-0200-000003000000}">
          <x14:formula1>
            <xm:f>Lookup!$D$5:$D$45</xm:f>
          </x14:formula1>
          <xm:sqref>E2:E133</xm:sqref>
        </x14:dataValidation>
        <x14:dataValidation type="list" allowBlank="1" xr:uid="{00000000-0002-0000-0200-000004000000}">
          <x14:formula1>
            <xm:f>Lookup!$E$5:$E$45</xm:f>
          </x14:formula1>
          <xm:sqref>G2:G133 H104</xm:sqref>
        </x14:dataValidation>
        <x14:dataValidation type="list" allowBlank="1" xr:uid="{00000000-0002-0000-0200-000005000000}">
          <x14:formula1>
            <xm:f>Lookup!$F$5:$F$45</xm:f>
          </x14:formula1>
          <xm:sqref>H2:H103 H105:H133</xm:sqref>
        </x14:dataValidation>
        <x14:dataValidation type="list" allowBlank="1" xr:uid="{00000000-0002-0000-0200-000006000000}">
          <x14:formula1>
            <xm:f>Lookup!$G$5:$G$45</xm:f>
          </x14:formula1>
          <xm:sqref>I2:I133</xm:sqref>
        </x14:dataValidation>
        <x14:dataValidation type="list" allowBlank="1" xr:uid="{00000000-0002-0000-0200-000007000000}">
          <x14:formula1>
            <xm:f>Lookup!$H$5:$H$45</xm:f>
          </x14:formula1>
          <xm:sqref>K2:K133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7"/>
  <sheetViews>
    <sheetView showGridLines="0" tabSelected="1" zoomScale="85" zoomScaleNormal="85" workbookViewId="0">
      <pane ySplit="3" topLeftCell="M4" activePane="bottomLeft" state="frozen"/>
      <selection pane="bottomLeft" activeCell="J18" sqref="J18"/>
    </sheetView>
  </sheetViews>
  <sheetFormatPr defaultRowHeight="14.45"/>
  <cols>
    <col min="1" max="1" width="18" customWidth="1"/>
    <col min="2" max="2" width="14" customWidth="1"/>
    <col min="3" max="3" width="18" customWidth="1"/>
    <col min="4" max="4" width="21.42578125" customWidth="1"/>
    <col min="5" max="5" width="12" customWidth="1"/>
    <col min="6" max="6" width="22" customWidth="1"/>
    <col min="7" max="7" width="7.7109375" bestFit="1" customWidth="1"/>
    <col min="8" max="8" width="28.85546875" customWidth="1"/>
    <col min="9" max="9" width="17.85546875" customWidth="1"/>
    <col min="10" max="10" width="19.7109375" customWidth="1"/>
    <col min="11" max="11" width="16.7109375" bestFit="1" customWidth="1"/>
    <col min="12" max="12" width="23.42578125" customWidth="1"/>
    <col min="13" max="13" width="32" bestFit="1" customWidth="1"/>
  </cols>
  <sheetData>
    <row r="1" spans="1:14" ht="23.45">
      <c r="A1" s="1" t="s">
        <v>306</v>
      </c>
    </row>
    <row r="2" spans="1:14">
      <c r="A2" s="2" t="s">
        <v>307</v>
      </c>
    </row>
    <row r="4" spans="1:14">
      <c r="A4" s="83" t="s">
        <v>308</v>
      </c>
      <c r="B4" s="92"/>
      <c r="D4" s="83" t="s">
        <v>309</v>
      </c>
      <c r="E4" s="92"/>
      <c r="G4" s="83" t="s">
        <v>310</v>
      </c>
      <c r="H4" s="92"/>
      <c r="J4" s="83" t="s">
        <v>311</v>
      </c>
      <c r="K4" s="92"/>
    </row>
    <row r="5" spans="1:14" ht="21">
      <c r="A5" s="84">
        <f>COUNTA('Initiative List'!A:A)-1</f>
        <v>134</v>
      </c>
      <c r="B5" s="92"/>
      <c r="D5" s="84">
        <f>SUM('Initiative List'!M:M)</f>
        <v>305</v>
      </c>
      <c r="E5" s="92"/>
      <c r="G5" s="84">
        <f>SUM('Initiative List'!P:P)</f>
        <v>135.25</v>
      </c>
      <c r="H5" s="92"/>
      <c r="J5" s="85">
        <f>IFERROR(G5/D5,0)</f>
        <v>0.44344262295081965</v>
      </c>
      <c r="K5" s="92"/>
      <c r="M5" s="4" t="s">
        <v>312</v>
      </c>
    </row>
    <row r="6" spans="1:14">
      <c r="M6" s="9" t="s">
        <v>313</v>
      </c>
      <c r="N6" s="7">
        <f ca="1">SUMIF('Initiative List'!V:V,TRIM(J9),'Initiative List'!M:M)</f>
        <v>63</v>
      </c>
    </row>
    <row r="7" spans="1:14">
      <c r="M7" s="9" t="s">
        <v>314</v>
      </c>
      <c r="N7" s="7">
        <f ca="1">SUMIF('Initiative List'!V:V,TRIM(J9),'Initiative List'!P:P)</f>
        <v>17.350000000000001</v>
      </c>
    </row>
    <row r="8" spans="1:14">
      <c r="A8" s="83" t="s">
        <v>315</v>
      </c>
      <c r="B8" s="92"/>
      <c r="D8" s="83" t="s">
        <v>316</v>
      </c>
      <c r="E8" s="92"/>
      <c r="G8" s="83" t="s">
        <v>317</v>
      </c>
      <c r="H8" s="92"/>
      <c r="J8" s="83" t="s">
        <v>318</v>
      </c>
      <c r="K8" s="92"/>
      <c r="M8" s="9" t="s">
        <v>319</v>
      </c>
      <c r="N8" s="8">
        <f ca="1">IFERROR(N7/N6,0)</f>
        <v>0.27539682539682542</v>
      </c>
    </row>
    <row r="9" spans="1:14" ht="21">
      <c r="A9" s="84">
        <f ca="1">SUM('Initiative List'!R:R)</f>
        <v>11</v>
      </c>
      <c r="B9" s="92"/>
      <c r="D9" s="84">
        <f>COUNTIF('Initiative List'!Q:Q,"Blocked")</f>
        <v>41</v>
      </c>
      <c r="E9" s="92"/>
      <c r="G9" s="84">
        <f>COUNTIF('Initiative List'!Q:Q,"Closed")</f>
        <v>41</v>
      </c>
      <c r="H9" s="92"/>
      <c r="J9" s="84" t="str">
        <f ca="1">_xlfn.SINGLE(_xlfn.CONCAT("Q",ROUNDUP(MONTH(TODAY())/3,0)))</f>
        <v>Q3</v>
      </c>
      <c r="K9" s="92"/>
      <c r="M9" s="9" t="s">
        <v>320</v>
      </c>
      <c r="N9" s="7">
        <f ca="1">COUNTIF('Initiative List'!V:V,J9)</f>
        <v>40</v>
      </c>
    </row>
    <row r="13" spans="1:14">
      <c r="A13" s="4" t="s">
        <v>321</v>
      </c>
      <c r="F13" s="4" t="s">
        <v>322</v>
      </c>
    </row>
    <row r="14" spans="1:14">
      <c r="A14" s="3" t="s">
        <v>20</v>
      </c>
      <c r="B14" s="3" t="s">
        <v>323</v>
      </c>
      <c r="C14" s="3" t="s">
        <v>324</v>
      </c>
      <c r="D14" s="3" t="s">
        <v>325</v>
      </c>
      <c r="F14" s="3" t="s">
        <v>10</v>
      </c>
      <c r="G14" s="3" t="s">
        <v>326</v>
      </c>
      <c r="H14" s="27" t="s">
        <v>327</v>
      </c>
      <c r="I14" s="27" t="s">
        <v>328</v>
      </c>
      <c r="J14" s="27" t="s">
        <v>329</v>
      </c>
    </row>
    <row r="15" spans="1:14">
      <c r="A15" s="10">
        <f>'Weekly Tracking'!A2</f>
        <v>46157</v>
      </c>
      <c r="B15" s="6">
        <f>'Weekly Tracking'!D2</f>
        <v>0.16460905349794239</v>
      </c>
      <c r="C15" s="5">
        <f>'Weekly Tracking'!E2</f>
        <v>40</v>
      </c>
      <c r="D15" s="5">
        <f>'Weekly Tracking'!H2</f>
        <v>40</v>
      </c>
      <c r="F15" s="5" t="s">
        <v>47</v>
      </c>
      <c r="G15" s="5">
        <v>4</v>
      </c>
      <c r="H15" s="5">
        <f>COUNTIF('Initiative List'!K:K,F15)</f>
        <v>28</v>
      </c>
      <c r="I15" s="5">
        <f>COUNTIFS('Initiative List'!K:K,'Executive Dashboard'!F15,'Initiative List'!I:I, "Closed Out")+COUNTIFS('Initiative List'!K:K,'Executive Dashboard'!F15,'Initiative List'!I:I, "Completed")</f>
        <v>17</v>
      </c>
      <c r="J15" s="28">
        <f>I15/H15</f>
        <v>0.6071428571428571</v>
      </c>
    </row>
    <row r="16" spans="1:14">
      <c r="A16" s="10">
        <f>'Weekly Tracking'!A3</f>
        <v>46164</v>
      </c>
      <c r="B16" s="6">
        <f>'Weekly Tracking'!D3</f>
        <v>0.17695473251028807</v>
      </c>
      <c r="C16" s="5">
        <f>'Weekly Tracking'!E3</f>
        <v>43</v>
      </c>
      <c r="D16" s="5">
        <f>'Weekly Tracking'!H3</f>
        <v>3</v>
      </c>
      <c r="F16" s="5" t="s">
        <v>31</v>
      </c>
      <c r="G16" s="5">
        <v>3</v>
      </c>
      <c r="H16" s="5">
        <f>COUNTIF('Initiative List'!K:K,F16)</f>
        <v>39</v>
      </c>
      <c r="I16" s="5">
        <f>COUNTIFS('Initiative List'!K:K,'Executive Dashboard'!F16,'Initiative List'!I:I, "Closed Out")+COUNTIFS('Initiative List'!K:K,'Executive Dashboard'!F16,'Initiative List'!I:I, "Completed")</f>
        <v>6</v>
      </c>
      <c r="J16" s="28">
        <f t="shared" ref="J16:J18" si="0">I16/H16</f>
        <v>0.15384615384615385</v>
      </c>
    </row>
    <row r="17" spans="1:13">
      <c r="A17" s="10">
        <f>'Weekly Tracking'!A4</f>
        <v>46171</v>
      </c>
      <c r="B17" s="6">
        <f>'Weekly Tracking'!D4</f>
        <v>0.17695473251028807</v>
      </c>
      <c r="C17" s="5">
        <f>'Weekly Tracking'!E4</f>
        <v>43</v>
      </c>
      <c r="D17" s="5">
        <f>'Weekly Tracking'!H4</f>
        <v>0</v>
      </c>
      <c r="F17" s="5" t="s">
        <v>55</v>
      </c>
      <c r="G17" s="5">
        <v>2</v>
      </c>
      <c r="H17" s="5">
        <f>COUNTIF('Initiative List'!K:K,F17)</f>
        <v>13</v>
      </c>
      <c r="I17" s="5">
        <f>COUNTIFS('Initiative List'!K:K,'Executive Dashboard'!F17,'Initiative List'!I:I, "Closed Out")+COUNTIFS('Initiative List'!K:K,'Executive Dashboard'!F17,'Initiative List'!I:I, "Completed")</f>
        <v>0</v>
      </c>
      <c r="J17" s="28">
        <f t="shared" si="0"/>
        <v>0</v>
      </c>
    </row>
    <row r="18" spans="1:13">
      <c r="A18" s="10">
        <f>'Weekly Tracking'!A5</f>
        <v>46178</v>
      </c>
      <c r="B18" s="6">
        <f>'Weekly Tracking'!D5</f>
        <v>0.17695473251028807</v>
      </c>
      <c r="C18" s="5">
        <f>'Weekly Tracking'!E5</f>
        <v>43</v>
      </c>
      <c r="D18" s="5">
        <f>'Weekly Tracking'!H5</f>
        <v>0</v>
      </c>
      <c r="F18" s="5" t="s">
        <v>61</v>
      </c>
      <c r="G18" s="5">
        <v>1</v>
      </c>
      <c r="H18" s="5">
        <f>COUNTIF('Initiative List'!K:K,F18)</f>
        <v>52</v>
      </c>
      <c r="I18" s="5">
        <f>COUNTIFS('Initiative List'!K:K,'Executive Dashboard'!F18,'Initiative List'!I:I, "Closed Out")+COUNTIFS('Initiative List'!K:K,'Executive Dashboard'!F18,'Initiative List'!I:I, "Completed")</f>
        <v>15</v>
      </c>
      <c r="J18" s="28">
        <f t="shared" si="0"/>
        <v>0.28846153846153844</v>
      </c>
    </row>
    <row r="19" spans="1:13">
      <c r="A19" s="10">
        <f>'Weekly Tracking'!A6</f>
        <v>46185</v>
      </c>
      <c r="B19" s="6">
        <f>'Weekly Tracking'!D6</f>
        <v>0.18775510204081633</v>
      </c>
      <c r="C19" s="5">
        <f>'Weekly Tracking'!E6</f>
        <v>46</v>
      </c>
      <c r="D19" s="5">
        <f>'Weekly Tracking'!H6</f>
        <v>3</v>
      </c>
    </row>
    <row r="20" spans="1:13">
      <c r="A20" s="10">
        <f>'Weekly Tracking'!A7</f>
        <v>46192</v>
      </c>
      <c r="B20" s="6">
        <f>'Weekly Tracking'!D7</f>
        <v>0.29770491803278698</v>
      </c>
      <c r="C20" s="5">
        <f>'Weekly Tracking'!E7</f>
        <v>90.800000000000026</v>
      </c>
      <c r="D20" s="5">
        <f>'Weekly Tracking'!H7</f>
        <v>44.800000000000026</v>
      </c>
    </row>
    <row r="21" spans="1:13">
      <c r="A21" s="10">
        <f>'Weekly Tracking'!A8</f>
        <v>46199</v>
      </c>
      <c r="B21" s="6">
        <f>'Weekly Tracking'!D8</f>
        <v>0.43836065573770489</v>
      </c>
      <c r="C21" s="5">
        <f>'Weekly Tracking'!E8</f>
        <v>133.69999999999999</v>
      </c>
      <c r="D21" s="5">
        <f>'Weekly Tracking'!H8</f>
        <v>42.899999999999963</v>
      </c>
    </row>
    <row r="22" spans="1:13">
      <c r="A22" s="10">
        <f>'Weekly Tracking'!A9</f>
        <v>46206</v>
      </c>
      <c r="B22" s="6">
        <f>'Weekly Tracking'!D9</f>
        <v>0.43999999999999995</v>
      </c>
      <c r="C22" s="5">
        <f>'Weekly Tracking'!E9</f>
        <v>134.19999999999999</v>
      </c>
      <c r="D22" s="5">
        <f>'Weekly Tracking'!H9</f>
        <v>0.5</v>
      </c>
    </row>
    <row r="23" spans="1:13">
      <c r="A23" s="10">
        <f>'Weekly Tracking'!A10</f>
        <v>46213</v>
      </c>
      <c r="B23" s="6">
        <f>'Weekly Tracking'!D10</f>
        <v>0.44344262295081965</v>
      </c>
      <c r="C23" s="5">
        <f>'Weekly Tracking'!E10</f>
        <v>135.25</v>
      </c>
      <c r="D23" s="5">
        <f>'Weekly Tracking'!H10</f>
        <v>1.0500000000000114</v>
      </c>
    </row>
    <row r="24" spans="1:13">
      <c r="A24" s="10">
        <f>'Weekly Tracking'!A11</f>
        <v>46220</v>
      </c>
      <c r="B24" s="6">
        <f>'Weekly Tracking'!D11</f>
        <v>0.44344262295081965</v>
      </c>
      <c r="C24" s="5">
        <f>'Weekly Tracking'!E11</f>
        <v>135.25</v>
      </c>
      <c r="D24" s="5">
        <f>'Weekly Tracking'!H11</f>
        <v>0</v>
      </c>
    </row>
    <row r="25" spans="1:13">
      <c r="A25" s="10">
        <f>'Weekly Tracking'!A12</f>
        <v>46227</v>
      </c>
      <c r="B25" s="6">
        <f>'Weekly Tracking'!D12</f>
        <v>0.44344262295081965</v>
      </c>
      <c r="C25" s="5">
        <f>'Weekly Tracking'!E12</f>
        <v>135.25</v>
      </c>
      <c r="D25" s="5">
        <f>'Weekly Tracking'!H12</f>
        <v>0</v>
      </c>
    </row>
    <row r="26" spans="1:13">
      <c r="A26" s="10">
        <f>'Weekly Tracking'!A13</f>
        <v>46234</v>
      </c>
      <c r="B26" s="6">
        <f>'Weekly Tracking'!D13</f>
        <v>0.44344262295081965</v>
      </c>
      <c r="C26" s="5">
        <f>'Weekly Tracking'!E13</f>
        <v>135.25</v>
      </c>
      <c r="D26" s="5">
        <f>'Weekly Tracking'!H13</f>
        <v>0</v>
      </c>
    </row>
    <row r="27" spans="1:13">
      <c r="A27" s="41"/>
      <c r="B27" s="42"/>
      <c r="C27" s="25"/>
      <c r="D27" s="25"/>
    </row>
    <row r="29" spans="1:13" ht="15.6">
      <c r="A29" s="26" t="s">
        <v>330</v>
      </c>
      <c r="H29" s="4" t="s">
        <v>331</v>
      </c>
    </row>
    <row r="30" spans="1:13">
      <c r="A30" s="77" t="s">
        <v>332</v>
      </c>
      <c r="B30" s="77"/>
      <c r="C30" s="77"/>
      <c r="D30" s="77"/>
      <c r="E30" s="77"/>
      <c r="F30" s="78"/>
      <c r="H30" s="3" t="s">
        <v>1</v>
      </c>
      <c r="I30" s="3" t="s">
        <v>333</v>
      </c>
      <c r="J30" s="27" t="s">
        <v>334</v>
      </c>
      <c r="K30" s="27" t="s">
        <v>15</v>
      </c>
      <c r="L30" s="27" t="s">
        <v>329</v>
      </c>
      <c r="M30" s="27" t="s">
        <v>335</v>
      </c>
    </row>
    <row r="31" spans="1:13">
      <c r="A31" s="82" t="s">
        <v>336</v>
      </c>
      <c r="B31" s="77"/>
      <c r="C31" s="77"/>
      <c r="D31" s="77"/>
      <c r="E31" s="77"/>
      <c r="F31" s="78"/>
      <c r="H31" s="5" t="str" cm="1">
        <f t="array" ref="H31:H54">_xlfn.UNIQUE('Initiative List'!B2:B1017)</f>
        <v>Consistency Workshop</v>
      </c>
      <c r="I31" s="5">
        <f>COUNTIF('Initiative List'!B:B,'Executive Dashboard'!H31)</f>
        <v>39</v>
      </c>
      <c r="J31" s="5">
        <f>SUMIF('Initiative List'!B:B,'Executive Dashboard'!H31, 'Initiative List'!M:M)</f>
        <v>103</v>
      </c>
      <c r="K31" s="5">
        <f>SUMIF('Initiative List'!B:B,'Executive Dashboard'!H31, 'Initiative List'!P:P)</f>
        <v>12.4</v>
      </c>
      <c r="L31" s="39">
        <f>IFERROR(K31/J31,0)</f>
        <v>0.12038834951456311</v>
      </c>
      <c r="M31" s="28">
        <f t="shared" ref="M31:M53" si="1">J31/SUM($J$31:$J$53)</f>
        <v>0.3377049180327869</v>
      </c>
    </row>
    <row r="32" spans="1:13">
      <c r="A32" s="82" t="s">
        <v>337</v>
      </c>
      <c r="B32" s="77"/>
      <c r="C32" s="77"/>
      <c r="D32" s="77"/>
      <c r="E32" s="77"/>
      <c r="F32" s="78"/>
      <c r="H32" s="5" t="str">
        <v>Estimate Document Numbering</v>
      </c>
      <c r="I32" s="5">
        <f>COUNTIF('Initiative List'!B:B,'Executive Dashboard'!H32)</f>
        <v>2</v>
      </c>
      <c r="J32" s="5">
        <f>SUMIF('Initiative List'!B:B,'Executive Dashboard'!H32, 'Initiative List'!M:M)</f>
        <v>6</v>
      </c>
      <c r="K32" s="5">
        <f>SUMIF('Initiative List'!B:B,'Executive Dashboard'!H32, 'Initiative List'!P:P)</f>
        <v>0</v>
      </c>
      <c r="L32" s="39">
        <f t="shared" ref="L32:L53" si="2">IFERROR(K32/J32,0)</f>
        <v>0</v>
      </c>
      <c r="M32" s="28">
        <f t="shared" si="1"/>
        <v>1.9672131147540985E-2</v>
      </c>
    </row>
    <row r="33" spans="1:13">
      <c r="A33" s="82"/>
      <c r="B33" s="77"/>
      <c r="C33" s="77"/>
      <c r="D33" s="77"/>
      <c r="E33" s="77"/>
      <c r="F33" s="78"/>
      <c r="H33" s="5" t="str">
        <v>Indicative Tool</v>
      </c>
      <c r="I33" s="5">
        <f>COUNTIF('Initiative List'!B:B,'Executive Dashboard'!H33)</f>
        <v>8</v>
      </c>
      <c r="J33" s="5">
        <f>SUMIF('Initiative List'!B:B,'Executive Dashboard'!H33, 'Initiative List'!M:M)</f>
        <v>21</v>
      </c>
      <c r="K33" s="5">
        <f>SUMIF('Initiative List'!B:B,'Executive Dashboard'!H33, 'Initiative List'!P:P)</f>
        <v>19.899999999999999</v>
      </c>
      <c r="L33" s="39">
        <f t="shared" si="2"/>
        <v>0.94761904761904758</v>
      </c>
      <c r="M33" s="28">
        <f t="shared" si="1"/>
        <v>6.8852459016393447E-2</v>
      </c>
    </row>
    <row r="34" spans="1:13">
      <c r="A34" s="77" t="s">
        <v>338</v>
      </c>
      <c r="B34" s="77"/>
      <c r="C34" s="77"/>
      <c r="D34" s="77"/>
      <c r="E34" s="77"/>
      <c r="F34" s="78"/>
      <c r="H34" s="5" t="str">
        <v>Initiatives - Future</v>
      </c>
      <c r="I34" s="5">
        <f>COUNTIF('Initiative List'!B:B,'Executive Dashboard'!H34)</f>
        <v>6</v>
      </c>
      <c r="J34" s="5">
        <f>SUMIF('Initiative List'!B:B,'Executive Dashboard'!H34, 'Initiative List'!M:M)</f>
        <v>12</v>
      </c>
      <c r="K34" s="5">
        <f>SUMIF('Initiative List'!B:B,'Executive Dashboard'!H34, 'Initiative List'!P:P)</f>
        <v>5.3</v>
      </c>
      <c r="L34" s="39">
        <f t="shared" si="2"/>
        <v>0.44166666666666665</v>
      </c>
      <c r="M34" s="28">
        <f t="shared" si="1"/>
        <v>3.9344262295081971E-2</v>
      </c>
    </row>
    <row r="35" spans="1:13">
      <c r="A35" s="77" t="s">
        <v>339</v>
      </c>
      <c r="B35" s="77"/>
      <c r="C35" s="77"/>
      <c r="D35" s="77"/>
      <c r="E35" s="77"/>
      <c r="F35" s="78"/>
      <c r="H35" s="5" t="str">
        <v>Mock Project Files</v>
      </c>
      <c r="I35" s="5">
        <f>COUNTIF('Initiative List'!B:B,'Executive Dashboard'!H35)</f>
        <v>1</v>
      </c>
      <c r="J35" s="5">
        <f>SUMIF('Initiative List'!B:B,'Executive Dashboard'!H35, 'Initiative List'!M:M)</f>
        <v>1</v>
      </c>
      <c r="K35" s="5">
        <f>SUMIF('Initiative List'!B:B,'Executive Dashboard'!H35, 'Initiative List'!P:P)</f>
        <v>0</v>
      </c>
      <c r="L35" s="39">
        <f t="shared" si="2"/>
        <v>0</v>
      </c>
      <c r="M35" s="28">
        <f t="shared" si="1"/>
        <v>3.2786885245901639E-3</v>
      </c>
    </row>
    <row r="36" spans="1:13">
      <c r="A36" s="79" t="s">
        <v>340</v>
      </c>
      <c r="B36" s="80"/>
      <c r="C36" s="80"/>
      <c r="D36" s="80"/>
      <c r="E36" s="80"/>
      <c r="F36" s="80"/>
      <c r="H36" s="5" t="str">
        <v>I&amp;C Adapt Logic</v>
      </c>
      <c r="I36" s="5">
        <f>COUNTIF('Initiative List'!B:B,'Executive Dashboard'!H36)</f>
        <v>5</v>
      </c>
      <c r="J36" s="5">
        <f>SUMIF('Initiative List'!B:B,'Executive Dashboard'!H36, 'Initiative List'!M:M)</f>
        <v>7</v>
      </c>
      <c r="K36" s="5">
        <f>SUMIF('Initiative List'!B:B,'Executive Dashboard'!H36, 'Initiative List'!P:P)</f>
        <v>6</v>
      </c>
      <c r="L36" s="39">
        <f t="shared" si="2"/>
        <v>0.8571428571428571</v>
      </c>
      <c r="M36" s="28">
        <f t="shared" si="1"/>
        <v>2.2950819672131147E-2</v>
      </c>
    </row>
    <row r="37" spans="1:13">
      <c r="A37" s="79" t="s">
        <v>341</v>
      </c>
      <c r="B37" s="80"/>
      <c r="C37" s="80"/>
      <c r="D37" s="80"/>
      <c r="E37" s="80"/>
      <c r="F37" s="80"/>
      <c r="H37" s="5" t="str">
        <v>Department Display</v>
      </c>
      <c r="I37" s="5">
        <f>COUNTIF('Initiative List'!B:B,'Executive Dashboard'!H37)</f>
        <v>1</v>
      </c>
      <c r="J37" s="5">
        <f>SUMIF('Initiative List'!B:B,'Executive Dashboard'!H37, 'Initiative List'!M:M)</f>
        <v>1</v>
      </c>
      <c r="K37" s="5">
        <f>SUMIF('Initiative List'!B:B,'Executive Dashboard'!H37, 'Initiative List'!P:P)</f>
        <v>0</v>
      </c>
      <c r="L37" s="39">
        <f t="shared" si="2"/>
        <v>0</v>
      </c>
      <c r="M37" s="28">
        <f t="shared" si="1"/>
        <v>3.2786885245901639E-3</v>
      </c>
    </row>
    <row r="38" spans="1:13">
      <c r="A38" s="80"/>
      <c r="B38" s="80"/>
      <c r="C38" s="80"/>
      <c r="D38" s="80"/>
      <c r="E38" s="80"/>
      <c r="F38" s="80"/>
      <c r="H38" s="5" t="str">
        <v>White Paper Reports</v>
      </c>
      <c r="I38" s="5">
        <f>COUNTIF('Initiative List'!B:B,'Executive Dashboard'!H38)</f>
        <v>3</v>
      </c>
      <c r="J38" s="5">
        <f>SUMIF('Initiative List'!B:B,'Executive Dashboard'!H38, 'Initiative List'!M:M)</f>
        <v>12</v>
      </c>
      <c r="K38" s="5">
        <f>SUMIF('Initiative List'!B:B,'Executive Dashboard'!H38, 'Initiative List'!P:P)</f>
        <v>3.6</v>
      </c>
      <c r="L38" s="39">
        <f t="shared" si="2"/>
        <v>0.3</v>
      </c>
      <c r="M38" s="28">
        <f t="shared" si="1"/>
        <v>3.9344262295081971E-2</v>
      </c>
    </row>
    <row r="39" spans="1:13">
      <c r="A39" s="81" t="s">
        <v>342</v>
      </c>
      <c r="B39" s="81"/>
      <c r="C39" s="81"/>
      <c r="D39" s="81"/>
      <c r="E39" s="81"/>
      <c r="F39" s="81"/>
      <c r="H39" s="5" t="str">
        <v>Initiatives Folder</v>
      </c>
      <c r="I39" s="5">
        <f>COUNTIF('Initiative List'!B:B,'Executive Dashboard'!H39)</f>
        <v>3</v>
      </c>
      <c r="J39" s="5">
        <f>SUMIF('Initiative List'!B:B,'Executive Dashboard'!H39, 'Initiative List'!M:M)</f>
        <v>5</v>
      </c>
      <c r="K39" s="5">
        <f>SUMIF('Initiative List'!B:B,'Executive Dashboard'!H39, 'Initiative List'!P:P)</f>
        <v>4.9000000000000004</v>
      </c>
      <c r="L39" s="39">
        <f t="shared" si="2"/>
        <v>0.98000000000000009</v>
      </c>
      <c r="M39" s="28">
        <f t="shared" si="1"/>
        <v>1.6393442622950821E-2</v>
      </c>
    </row>
    <row r="40" spans="1:13">
      <c r="A40" s="73" t="s">
        <v>343</v>
      </c>
      <c r="B40" s="74"/>
      <c r="C40" s="74"/>
      <c r="D40" s="74"/>
      <c r="E40" s="74"/>
      <c r="F40" s="75"/>
      <c r="H40" s="5" t="str">
        <v>Energy Standardization</v>
      </c>
      <c r="I40" s="5">
        <f>COUNTIF('Initiative List'!B:B,'Executive Dashboard'!H40)</f>
        <v>36</v>
      </c>
      <c r="J40" s="5">
        <f>SUMIF('Initiative List'!B:B,'Executive Dashboard'!H40, 'Initiative List'!M:M)</f>
        <v>93</v>
      </c>
      <c r="K40" s="5">
        <f>SUMIF('Initiative List'!B:B,'Executive Dashboard'!H40, 'Initiative List'!P:P)</f>
        <v>53.75</v>
      </c>
      <c r="L40" s="39">
        <f t="shared" si="2"/>
        <v>0.57795698924731187</v>
      </c>
      <c r="M40" s="28">
        <f t="shared" si="1"/>
        <v>0.30491803278688523</v>
      </c>
    </row>
    <row r="41" spans="1:13">
      <c r="A41" s="70" t="s">
        <v>344</v>
      </c>
      <c r="B41" s="71"/>
      <c r="C41" s="71"/>
      <c r="D41" s="71"/>
      <c r="E41" s="71"/>
      <c r="F41" s="72"/>
      <c r="H41" s="5" t="str">
        <v>Vendor Presentations</v>
      </c>
      <c r="I41" s="5">
        <f>COUNTIF('Initiative List'!B:B,'Executive Dashboard'!H41)</f>
        <v>3</v>
      </c>
      <c r="J41" s="5">
        <f>SUMIF('Initiative List'!B:B,'Executive Dashboard'!H41, 'Initiative List'!M:M)</f>
        <v>3</v>
      </c>
      <c r="K41" s="5">
        <f>SUMIF('Initiative List'!B:B,'Executive Dashboard'!H41, 'Initiative List'!P:P)</f>
        <v>2.65</v>
      </c>
      <c r="L41" s="39">
        <f t="shared" si="2"/>
        <v>0.8833333333333333</v>
      </c>
      <c r="M41" s="28">
        <f t="shared" si="1"/>
        <v>9.8360655737704927E-3</v>
      </c>
    </row>
    <row r="42" spans="1:13">
      <c r="A42" s="76" t="s">
        <v>338</v>
      </c>
      <c r="B42" s="71"/>
      <c r="C42" s="71"/>
      <c r="D42" s="71"/>
      <c r="E42" s="71"/>
      <c r="F42" s="72"/>
      <c r="H42" s="5" t="str">
        <v>Temporary Power</v>
      </c>
      <c r="I42" s="5">
        <f>COUNTIF('Initiative List'!B:B,'Executive Dashboard'!H42)</f>
        <v>1</v>
      </c>
      <c r="J42" s="5">
        <f>SUMIF('Initiative List'!B:B,'Executive Dashboard'!H42, 'Initiative List'!M:M)</f>
        <v>4</v>
      </c>
      <c r="K42" s="5">
        <f>SUMIF('Initiative List'!B:B,'Executive Dashboard'!H42, 'Initiative List'!P:P)</f>
        <v>4</v>
      </c>
      <c r="L42" s="39">
        <f t="shared" si="2"/>
        <v>1</v>
      </c>
      <c r="M42" s="28">
        <f t="shared" si="1"/>
        <v>1.3114754098360656E-2</v>
      </c>
    </row>
    <row r="43" spans="1:13">
      <c r="A43" s="76" t="s">
        <v>345</v>
      </c>
      <c r="B43" s="71"/>
      <c r="C43" s="71"/>
      <c r="D43" s="71"/>
      <c r="E43" s="71"/>
      <c r="F43" s="72"/>
      <c r="H43" s="5" t="str">
        <v>TBD - Folder Not Created</v>
      </c>
      <c r="I43" s="5">
        <f>COUNTIF('Initiative List'!B:B,'Executive Dashboard'!H43)</f>
        <v>5</v>
      </c>
      <c r="J43" s="5">
        <f>SUMIF('Initiative List'!B:B,'Executive Dashboard'!H43, 'Initiative List'!M:M)</f>
        <v>8</v>
      </c>
      <c r="K43" s="5">
        <f>SUMIF('Initiative List'!B:B,'Executive Dashboard'!H43, 'Initiative List'!P:P)</f>
        <v>0.5</v>
      </c>
      <c r="L43" s="39">
        <f t="shared" si="2"/>
        <v>6.25E-2</v>
      </c>
      <c r="M43" s="28">
        <f t="shared" si="1"/>
        <v>2.6229508196721311E-2</v>
      </c>
    </row>
    <row r="44" spans="1:13">
      <c r="A44" s="70" t="s">
        <v>346</v>
      </c>
      <c r="B44" s="71"/>
      <c r="C44" s="71"/>
      <c r="D44" s="71"/>
      <c r="E44" s="71"/>
      <c r="F44" s="72"/>
      <c r="H44" s="5" t="str">
        <v>Cable Automation</v>
      </c>
      <c r="I44" s="5">
        <f>COUNTIF('Initiative List'!B:B,'Executive Dashboard'!H44)</f>
        <v>3</v>
      </c>
      <c r="J44" s="5">
        <f>SUMIF('Initiative List'!B:B,'Executive Dashboard'!H44, 'Initiative List'!M:M)</f>
        <v>3</v>
      </c>
      <c r="K44" s="5">
        <f>SUMIF('Initiative List'!B:B,'Executive Dashboard'!H44, 'Initiative List'!P:P)</f>
        <v>2.25</v>
      </c>
      <c r="L44" s="39">
        <f t="shared" si="2"/>
        <v>0.75</v>
      </c>
      <c r="M44" s="28">
        <f t="shared" si="1"/>
        <v>9.8360655737704927E-3</v>
      </c>
    </row>
    <row r="45" spans="1:13">
      <c r="A45" s="70" t="s">
        <v>347</v>
      </c>
      <c r="B45" s="71"/>
      <c r="C45" s="71"/>
      <c r="D45" s="71"/>
      <c r="E45" s="71"/>
      <c r="F45" s="72"/>
      <c r="H45" s="5" t="str">
        <v>Moved - Procurement Standard</v>
      </c>
      <c r="I45" s="5">
        <f>COUNTIF('Initiative List'!B:B,'Executive Dashboard'!H45)</f>
        <v>1</v>
      </c>
      <c r="J45" s="5">
        <f>SUMIF('Initiative List'!B:B,'Executive Dashboard'!H45, 'Initiative List'!M:M)</f>
        <v>3</v>
      </c>
      <c r="K45" s="5">
        <f>SUMIF('Initiative List'!B:B,'Executive Dashboard'!H45, 'Initiative List'!P:P)</f>
        <v>3</v>
      </c>
      <c r="L45" s="39">
        <f t="shared" si="2"/>
        <v>1</v>
      </c>
      <c r="M45" s="28">
        <f t="shared" si="1"/>
        <v>9.8360655737704927E-3</v>
      </c>
    </row>
    <row r="46" spans="1:13">
      <c r="H46" s="5" t="str">
        <v>Shiploose Pricing Index</v>
      </c>
      <c r="I46" s="5">
        <f>COUNTIF('Initiative List'!B:B,'Executive Dashboard'!H46)</f>
        <v>1</v>
      </c>
      <c r="J46" s="5">
        <f>SUMIF('Initiative List'!B:B,'Executive Dashboard'!H46, 'Initiative List'!M:M)</f>
        <v>1</v>
      </c>
      <c r="K46" s="5">
        <f>SUMIF('Initiative List'!B:B,'Executive Dashboard'!H46, 'Initiative List'!P:P)</f>
        <v>1</v>
      </c>
      <c r="L46" s="39">
        <f t="shared" si="2"/>
        <v>1</v>
      </c>
      <c r="M46" s="28">
        <f t="shared" si="1"/>
        <v>3.2786885245901639E-3</v>
      </c>
    </row>
    <row r="47" spans="1:13">
      <c r="H47" s="5" t="str">
        <v>BB Toolset Symbols</v>
      </c>
      <c r="I47" s="5">
        <f>COUNTIF('Initiative List'!B:B,'Executive Dashboard'!H47)</f>
        <v>7</v>
      </c>
      <c r="J47" s="5">
        <f>SUMIF('Initiative List'!B:B,'Executive Dashboard'!H47, 'Initiative List'!M:M)</f>
        <v>7</v>
      </c>
      <c r="K47" s="5">
        <f>SUMIF('Initiative List'!B:B,'Executive Dashboard'!H47, 'Initiative List'!P:P)</f>
        <v>6.65</v>
      </c>
      <c r="L47" s="39">
        <f t="shared" si="2"/>
        <v>0.95000000000000007</v>
      </c>
      <c r="M47" s="28">
        <f t="shared" si="1"/>
        <v>2.2950819672131147E-2</v>
      </c>
    </row>
    <row r="48" spans="1:13">
      <c r="A48" s="4" t="s">
        <v>348</v>
      </c>
      <c r="H48" s="5" t="str">
        <v>CAD Toolset Symbols</v>
      </c>
      <c r="I48" s="5">
        <f>COUNTIF('Initiative List'!B:B,'Executive Dashboard'!H48)</f>
        <v>1</v>
      </c>
      <c r="J48" s="5">
        <f>SUMIF('Initiative List'!B:B,'Executive Dashboard'!H48, 'Initiative List'!M:M)</f>
        <v>1</v>
      </c>
      <c r="K48" s="5">
        <f>SUMIF('Initiative List'!B:B,'Executive Dashboard'!H48, 'Initiative List'!P:P)</f>
        <v>0.9</v>
      </c>
      <c r="L48" s="39">
        <f t="shared" si="2"/>
        <v>0.9</v>
      </c>
      <c r="M48" s="28">
        <f t="shared" si="1"/>
        <v>3.2786885245901639E-3</v>
      </c>
    </row>
    <row r="49" spans="1:13">
      <c r="A49" s="3" t="s">
        <v>349</v>
      </c>
      <c r="B49" s="3" t="s">
        <v>333</v>
      </c>
      <c r="C49" s="3" t="s">
        <v>334</v>
      </c>
      <c r="D49" s="3" t="s">
        <v>15</v>
      </c>
      <c r="E49" s="3" t="s">
        <v>350</v>
      </c>
      <c r="H49" s="5" t="str">
        <v>Master Sheets - P.Query</v>
      </c>
      <c r="I49" s="5">
        <f>COUNTIF('Initiative List'!B:B,'Executive Dashboard'!H49)</f>
        <v>2</v>
      </c>
      <c r="J49" s="5">
        <f>SUMIF('Initiative List'!B:B,'Executive Dashboard'!H49, 'Initiative List'!M:M)</f>
        <v>8</v>
      </c>
      <c r="K49" s="5">
        <f>SUMIF('Initiative List'!B:B,'Executive Dashboard'!H49, 'Initiative List'!P:P)</f>
        <v>3</v>
      </c>
      <c r="L49" s="39">
        <f t="shared" si="2"/>
        <v>0.375</v>
      </c>
      <c r="M49" s="28">
        <f t="shared" si="1"/>
        <v>2.6229508196721311E-2</v>
      </c>
    </row>
    <row r="50" spans="1:13">
      <c r="A50" s="7" t="s">
        <v>351</v>
      </c>
      <c r="B50" s="7">
        <f>COUNTIF('Initiative List'!V:V,A50)</f>
        <v>0</v>
      </c>
      <c r="C50" s="7">
        <f>SUMIF('Initiative List'!V:V,A50,'Initiative List'!M:M)</f>
        <v>0</v>
      </c>
      <c r="D50" s="7">
        <f>SUMIF('Initiative List'!V:V,A50,'Initiative List'!P:P)</f>
        <v>0</v>
      </c>
      <c r="E50" s="8">
        <f t="shared" ref="E50:E55" si="3">IFERROR(D50/C50,0)</f>
        <v>0</v>
      </c>
      <c r="H50" s="5" t="str">
        <v>Moved - KOE Standard</v>
      </c>
      <c r="I50" s="5">
        <f>COUNTIF('Initiative List'!B:B,'Executive Dashboard'!H50)</f>
        <v>1</v>
      </c>
      <c r="J50" s="5">
        <f>SUMIF('Initiative List'!B:B,'Executive Dashboard'!H50, 'Initiative List'!M:M)</f>
        <v>2</v>
      </c>
      <c r="K50" s="5">
        <f>SUMIF('Initiative List'!B:B,'Executive Dashboard'!H50, 'Initiative List'!P:P)</f>
        <v>1.8</v>
      </c>
      <c r="L50" s="39">
        <f t="shared" si="2"/>
        <v>0.9</v>
      </c>
      <c r="M50" s="28">
        <f t="shared" si="1"/>
        <v>6.5573770491803279E-3</v>
      </c>
    </row>
    <row r="51" spans="1:13">
      <c r="A51" s="7" t="s">
        <v>143</v>
      </c>
      <c r="B51" s="7">
        <f>COUNTIF('Initiative List'!V:V,A51)</f>
        <v>33</v>
      </c>
      <c r="C51" s="7">
        <f>SUMIF('Initiative List'!V:V,A51,'Initiative List'!M:M)</f>
        <v>112</v>
      </c>
      <c r="D51" s="7">
        <f>SUMIF('Initiative List'!V:V,A51,'Initiative List'!P:P)</f>
        <v>88.600000000000009</v>
      </c>
      <c r="E51" s="8">
        <f t="shared" si="3"/>
        <v>0.79107142857142865</v>
      </c>
      <c r="H51" s="5" t="str">
        <v>Installation Details</v>
      </c>
      <c r="I51" s="5">
        <f>COUNTIF('Initiative List'!B:B,'Executive Dashboard'!H51)</f>
        <v>1</v>
      </c>
      <c r="J51" s="5">
        <f>SUMIF('Initiative List'!B:B,'Executive Dashboard'!H51, 'Initiative List'!M:M)</f>
        <v>1</v>
      </c>
      <c r="K51" s="5">
        <f>SUMIF('Initiative List'!B:B,'Executive Dashboard'!H51, 'Initiative List'!P:P)</f>
        <v>0.75</v>
      </c>
      <c r="L51" s="39">
        <f t="shared" si="2"/>
        <v>0.75</v>
      </c>
      <c r="M51" s="28">
        <f t="shared" si="1"/>
        <v>3.2786885245901639E-3</v>
      </c>
    </row>
    <row r="52" spans="1:13">
      <c r="A52" s="7" t="s">
        <v>69</v>
      </c>
      <c r="B52" s="7">
        <f>COUNTIF('Initiative List'!V:V,A52)</f>
        <v>40</v>
      </c>
      <c r="C52" s="7">
        <f>SUMIF('Initiative List'!V:V,A52,'Initiative List'!M:M)</f>
        <v>63</v>
      </c>
      <c r="D52" s="7">
        <f>SUMIF('Initiative List'!V:V,A52,'Initiative List'!P:P)</f>
        <v>17.350000000000001</v>
      </c>
      <c r="E52" s="8">
        <f t="shared" si="3"/>
        <v>0.27539682539682542</v>
      </c>
      <c r="H52" s="5" t="str">
        <v>Moved - Department SharePoint</v>
      </c>
      <c r="I52" s="5">
        <f>COUNTIF('Initiative List'!B:B,'Executive Dashboard'!H52)</f>
        <v>1</v>
      </c>
      <c r="J52" s="5">
        <f>SUMIF('Initiative List'!B:B,'Executive Dashboard'!H52, 'Initiative List'!M:M)</f>
        <v>2</v>
      </c>
      <c r="K52" s="5">
        <f>SUMIF('Initiative List'!B:B,'Executive Dashboard'!H52, 'Initiative List'!P:P)</f>
        <v>2</v>
      </c>
      <c r="L52" s="39">
        <f t="shared" si="2"/>
        <v>1</v>
      </c>
      <c r="M52" s="28">
        <f t="shared" si="1"/>
        <v>6.5573770491803279E-3</v>
      </c>
    </row>
    <row r="53" spans="1:13">
      <c r="A53" s="7" t="s">
        <v>352</v>
      </c>
      <c r="B53" s="7">
        <f>COUNTIF('Initiative List'!V:V,A53)</f>
        <v>0</v>
      </c>
      <c r="C53" s="7">
        <f>SUMIF('Initiative List'!V:V,A53,'Initiative List'!M:M)</f>
        <v>0</v>
      </c>
      <c r="D53" s="7">
        <f>SUMIF('Initiative List'!V:V,A53,'Initiative List'!P:P)</f>
        <v>0</v>
      </c>
      <c r="E53" s="8">
        <f t="shared" si="3"/>
        <v>0</v>
      </c>
      <c r="H53" s="5" t="str">
        <v>Quantity Summary Sheet</v>
      </c>
      <c r="I53" s="5">
        <f>COUNTIF('Initiative List'!B:B,'Executive Dashboard'!H53)</f>
        <v>1</v>
      </c>
      <c r="J53" s="5">
        <f>SUMIF('Initiative List'!B:B,'Executive Dashboard'!H53, 'Initiative List'!M:M)</f>
        <v>1</v>
      </c>
      <c r="K53" s="5">
        <f>SUMIF('Initiative List'!B:B,'Executive Dashboard'!H53, 'Initiative List'!P:P)</f>
        <v>0.9</v>
      </c>
      <c r="L53" s="39">
        <f t="shared" si="2"/>
        <v>0.9</v>
      </c>
      <c r="M53" s="28">
        <f t="shared" si="1"/>
        <v>3.2786885245901639E-3</v>
      </c>
    </row>
    <row r="54" spans="1:13">
      <c r="A54" s="7" t="s">
        <v>353</v>
      </c>
      <c r="B54" s="7">
        <f>COUNTIF('Initiative List'!V:V,A54)</f>
        <v>60</v>
      </c>
      <c r="C54" s="7">
        <f>SUMIF('Initiative List'!V:V,A54,'Initiative List'!M:M)</f>
        <v>130</v>
      </c>
      <c r="D54" s="7">
        <f>SUMIF('Initiative List'!V:V,A54,'Initiative List'!P:P)</f>
        <v>29.3</v>
      </c>
      <c r="E54" s="8">
        <f t="shared" si="3"/>
        <v>0.22538461538461538</v>
      </c>
      <c r="H54">
        <v>0</v>
      </c>
    </row>
    <row r="55" spans="1:13">
      <c r="A55" s="7" t="s">
        <v>354</v>
      </c>
      <c r="B55" s="7">
        <f>COUNTIF('Initiative List'!V:V,A55)</f>
        <v>0</v>
      </c>
      <c r="C55" s="7">
        <f>SUMIF('Initiative List'!V:V,A55,'Initiative List'!M:M)</f>
        <v>0</v>
      </c>
      <c r="D55" s="7">
        <f>SUMIF('Initiative List'!V:V,A55,'Initiative List'!P:P)</f>
        <v>0</v>
      </c>
      <c r="E55" s="8">
        <f t="shared" si="3"/>
        <v>0</v>
      </c>
    </row>
    <row r="58" spans="1:13">
      <c r="H58" s="4" t="s">
        <v>355</v>
      </c>
    </row>
    <row r="59" spans="1:13">
      <c r="H59" s="3" t="s">
        <v>6</v>
      </c>
      <c r="I59" s="3" t="s">
        <v>15</v>
      </c>
      <c r="J59" s="3" t="s">
        <v>356</v>
      </c>
      <c r="K59" s="3" t="s">
        <v>350</v>
      </c>
      <c r="L59" s="3" t="s">
        <v>357</v>
      </c>
    </row>
    <row r="60" spans="1:13">
      <c r="H60" s="7" t="s">
        <v>27</v>
      </c>
      <c r="I60" s="7">
        <f>SUMIFS('Initiative List'!P:P,'Initiative List'!G:G,H60)</f>
        <v>5.35</v>
      </c>
      <c r="J60" s="7">
        <f>SUMIFS('Initiative List'!M:M,'Initiative List'!G:G,H60)-SUMIFS('Initiative List'!P:P,'Initiative List'!G:G,H60)</f>
        <v>13.65</v>
      </c>
      <c r="K60" s="8">
        <f>IFERROR(I60/SUMIFS('Initiative List'!M:M,'Initiative List'!G:G,H60),0)</f>
        <v>0.28157894736842104</v>
      </c>
      <c r="L60" s="30" t="s">
        <v>358</v>
      </c>
    </row>
    <row r="61" spans="1:13" ht="30" customHeight="1">
      <c r="H61" s="7" t="s">
        <v>28</v>
      </c>
      <c r="I61" s="7">
        <f>SUMIFS('Initiative List'!P:P,'Initiative List'!G:G,H61)</f>
        <v>10.6</v>
      </c>
      <c r="J61" s="7">
        <f>SUMIFS('Initiative List'!M:M,'Initiative List'!G:G,H61)-SUMIFS('Initiative List'!P:P,'Initiative List'!G:G,H61)</f>
        <v>11.4</v>
      </c>
      <c r="K61" s="8">
        <f>IFERROR(I61/SUMIFS('Initiative List'!M:M,'Initiative List'!G:G,H61),0)</f>
        <v>0.48181818181818181</v>
      </c>
      <c r="L61" s="30" t="s">
        <v>359</v>
      </c>
    </row>
    <row r="62" spans="1:13">
      <c r="H62" s="7" t="s">
        <v>44</v>
      </c>
      <c r="I62" s="7">
        <f>SUMIFS('Initiative List'!P:P,'Initiative List'!G:G,H62)</f>
        <v>4</v>
      </c>
      <c r="J62" s="7">
        <f>SUMIFS('Initiative List'!M:M,'Initiative List'!G:G,H62)-SUMIFS('Initiative List'!P:P,'Initiative List'!G:G,H62)</f>
        <v>0</v>
      </c>
      <c r="K62" s="8">
        <f>IFERROR(I62/SUMIFS('Initiative List'!M:M,'Initiative List'!G:G,H62),0)</f>
        <v>1</v>
      </c>
      <c r="L62" s="30" t="s">
        <v>360</v>
      </c>
    </row>
    <row r="63" spans="1:13">
      <c r="H63" s="7" t="s">
        <v>67</v>
      </c>
      <c r="I63" s="7">
        <f>SUMIFS('Initiative List'!P:P,'Initiative List'!G:G,H63)</f>
        <v>6</v>
      </c>
      <c r="J63" s="7">
        <f>SUMIFS('Initiative List'!M:M,'Initiative List'!G:G,H63)-SUMIFS('Initiative List'!P:P,'Initiative List'!G:G,H63)</f>
        <v>4</v>
      </c>
      <c r="K63" s="8">
        <f>IFERROR(I63/SUMIFS('Initiative List'!M:M,'Initiative List'!G:G,H63),0)</f>
        <v>0.6</v>
      </c>
      <c r="L63" s="30"/>
    </row>
    <row r="64" spans="1:13">
      <c r="H64" s="7" t="s">
        <v>76</v>
      </c>
      <c r="I64" s="7">
        <f>SUMIFS('Initiative List'!P:P,'Initiative List'!G:G,H64)</f>
        <v>11</v>
      </c>
      <c r="J64" s="7">
        <f>SUMIFS('Initiative List'!M:M,'Initiative List'!G:G,H64)-SUMIFS('Initiative List'!P:P,'Initiative List'!G:G,H64)</f>
        <v>3</v>
      </c>
      <c r="K64" s="8">
        <f>IFERROR(I64/SUMIFS('Initiative List'!M:M,'Initiative List'!G:G,H64),0)</f>
        <v>0.7857142857142857</v>
      </c>
      <c r="L64" s="30" t="s">
        <v>361</v>
      </c>
    </row>
    <row r="65" spans="8:12">
      <c r="H65" s="7" t="s">
        <v>82</v>
      </c>
      <c r="I65" s="7">
        <f>SUMIFS('Initiative List'!P:P,'Initiative List'!G:G,H65)</f>
        <v>0</v>
      </c>
      <c r="J65" s="7">
        <f>SUMIFS('Initiative List'!M:M,'Initiative List'!G:G,H65)-SUMIFS('Initiative List'!P:P,'Initiative List'!G:G,H65)</f>
        <v>2</v>
      </c>
      <c r="K65" s="8">
        <f>IFERROR(I65/SUMIFS('Initiative List'!M:M,'Initiative List'!G:G,H65),0)</f>
        <v>0</v>
      </c>
      <c r="L65" s="30" t="s">
        <v>362</v>
      </c>
    </row>
    <row r="66" spans="8:12">
      <c r="H66" s="7" t="s">
        <v>88</v>
      </c>
      <c r="I66" s="7">
        <f>SUMIFS('Initiative List'!P:P,'Initiative List'!G:G,H66)</f>
        <v>0</v>
      </c>
      <c r="J66" s="7">
        <f>SUMIFS('Initiative List'!M:M,'Initiative List'!G:G,H66)-SUMIFS('Initiative List'!P:P,'Initiative List'!G:G,H66)</f>
        <v>4</v>
      </c>
      <c r="K66" s="8">
        <f>IFERROR(I66/SUMIFS('Initiative List'!M:M,'Initiative List'!G:G,H66),0)</f>
        <v>0</v>
      </c>
      <c r="L66" s="30"/>
    </row>
    <row r="67" spans="8:12">
      <c r="H67" s="7" t="s">
        <v>94</v>
      </c>
      <c r="I67" s="7">
        <f>SUMIFS('Initiative List'!P:P,'Initiative List'!G:G,H67)</f>
        <v>0</v>
      </c>
      <c r="J67" s="7">
        <f>SUMIFS('Initiative List'!M:M,'Initiative List'!G:G,H67)-SUMIFS('Initiative List'!P:P,'Initiative List'!G:G,H67)</f>
        <v>4</v>
      </c>
      <c r="K67" s="8">
        <f>IFERROR(I67/SUMIFS('Initiative List'!M:M,'Initiative List'!G:G,H67),0)</f>
        <v>0</v>
      </c>
      <c r="L67" s="30"/>
    </row>
    <row r="68" spans="8:12">
      <c r="H68" s="7" t="s">
        <v>99</v>
      </c>
      <c r="I68" s="7">
        <f>SUMIFS('Initiative List'!P:P,'Initiative List'!G:G,H68)</f>
        <v>6.7</v>
      </c>
      <c r="J68" s="7">
        <f>SUMIFS('Initiative List'!M:M,'Initiative List'!G:G,H68)-SUMIFS('Initiative List'!P:P,'Initiative List'!G:G,H68)</f>
        <v>7.3</v>
      </c>
      <c r="K68" s="8">
        <f>IFERROR(I68/SUMIFS('Initiative List'!M:M,'Initiative List'!G:G,H68),0)</f>
        <v>0.47857142857142859</v>
      </c>
      <c r="L68" s="30" t="s">
        <v>363</v>
      </c>
    </row>
    <row r="69" spans="8:12" ht="28.9">
      <c r="H69" s="7" t="s">
        <v>105</v>
      </c>
      <c r="I69" s="7">
        <f>SUMIFS('Initiative List'!P:P,'Initiative List'!G:G,H69)</f>
        <v>7</v>
      </c>
      <c r="J69" s="7">
        <f>SUMIFS('Initiative List'!M:M,'Initiative List'!G:G,H69)-SUMIFS('Initiative List'!P:P,'Initiative List'!G:G,H69)</f>
        <v>3</v>
      </c>
      <c r="K69" s="8">
        <f>IFERROR(I69/SUMIFS('Initiative List'!M:M,'Initiative List'!G:G,H69),0)</f>
        <v>0.7</v>
      </c>
      <c r="L69" s="30" t="s">
        <v>364</v>
      </c>
    </row>
    <row r="70" spans="8:12">
      <c r="H70" s="7" t="s">
        <v>137</v>
      </c>
      <c r="I70" s="7">
        <f>SUMIFS('Initiative List'!P:P,'Initiative List'!G:G,H70)</f>
        <v>16.25</v>
      </c>
      <c r="J70" s="7">
        <f>SUMIFS('Initiative List'!M:M,'Initiative List'!G:G,H70)-SUMIFS('Initiative List'!P:P,'Initiative List'!G:G,H70)</f>
        <v>10.75</v>
      </c>
      <c r="K70" s="8">
        <f>IFERROR(I70/SUMIFS('Initiative List'!M:M,'Initiative List'!G:G,H70),0)</f>
        <v>0.60185185185185186</v>
      </c>
      <c r="L70" s="30"/>
    </row>
    <row r="71" spans="8:12">
      <c r="H71" s="7" t="s">
        <v>150</v>
      </c>
      <c r="I71" s="7">
        <f>SUMIFS('Initiative List'!P:P,'Initiative List'!G:G,H71)</f>
        <v>0.25</v>
      </c>
      <c r="J71" s="7">
        <f>SUMIFS('Initiative List'!M:M,'Initiative List'!G:G,H71)-SUMIFS('Initiative List'!P:P,'Initiative List'!G:G,H71)</f>
        <v>80.75</v>
      </c>
      <c r="K71" s="8">
        <f>IFERROR(I71/SUMIFS('Initiative List'!M:M,'Initiative List'!G:G,H71),0)</f>
        <v>3.0864197530864196E-3</v>
      </c>
      <c r="L71" s="30"/>
    </row>
    <row r="72" spans="8:12" ht="30" customHeight="1">
      <c r="H72" s="7" t="s">
        <v>166</v>
      </c>
      <c r="I72" s="7">
        <f>SUMIFS('Initiative List'!P:P,'Initiative List'!G:G,H72)</f>
        <v>4</v>
      </c>
      <c r="J72" s="7">
        <f>SUMIFS('Initiative List'!M:M,'Initiative List'!G:G,H72)-SUMIFS('Initiative List'!P:P,'Initiative List'!G:G,H72)</f>
        <v>0</v>
      </c>
      <c r="K72" s="8">
        <f>IFERROR(I72/SUMIFS('Initiative List'!M:M,'Initiative List'!G:G,H72),0)</f>
        <v>1</v>
      </c>
      <c r="L72" s="30" t="s">
        <v>365</v>
      </c>
    </row>
    <row r="73" spans="8:12">
      <c r="H73" s="7" t="s">
        <v>142</v>
      </c>
      <c r="I73" s="7">
        <f>SUMIFS('Initiative List'!P:P,'Initiative List'!G:G,H73)</f>
        <v>8</v>
      </c>
      <c r="J73" s="7">
        <f>SUMIFS('Initiative List'!M:M,'Initiative List'!G:G,H73)-SUMIFS('Initiative List'!P:P,'Initiative List'!G:G,H73)</f>
        <v>7</v>
      </c>
      <c r="K73" s="8">
        <f>IFERROR(I73/SUMIFS('Initiative List'!M:M,'Initiative List'!G:G,H73),0)</f>
        <v>0.53333333333333333</v>
      </c>
      <c r="L73" s="30" t="s">
        <v>366</v>
      </c>
    </row>
    <row r="74" spans="8:12">
      <c r="H74" s="7" t="s">
        <v>181</v>
      </c>
      <c r="I74" s="7">
        <f>SUMIFS('Initiative List'!P:P,'Initiative List'!G:G,H74)</f>
        <v>0</v>
      </c>
      <c r="J74" s="7">
        <f>SUMIFS('Initiative List'!M:M,'Initiative List'!G:G,H74)-SUMIFS('Initiative List'!P:P,'Initiative List'!G:G,H74)</f>
        <v>2</v>
      </c>
      <c r="K74" s="8">
        <f>IFERROR(I74/SUMIFS('Initiative List'!M:M,'Initiative List'!G:G,H74),0)</f>
        <v>0</v>
      </c>
      <c r="L74" s="30"/>
    </row>
    <row r="75" spans="8:12">
      <c r="H75" s="7" t="s">
        <v>77</v>
      </c>
      <c r="I75" s="7">
        <f>SUMIFS('Initiative List'!P:P,'Initiative List'!G:G,H75)</f>
        <v>28.200000000000003</v>
      </c>
      <c r="J75" s="7">
        <f>SUMIFS('Initiative List'!M:M,'Initiative List'!G:G,H75)-SUMIFS('Initiative List'!P:P,'Initiative List'!G:G,H75)</f>
        <v>12.799999999999997</v>
      </c>
      <c r="K75" s="8">
        <f>IFERROR(I75/SUMIFS('Initiative List'!M:M,'Initiative List'!G:G,H75),0)</f>
        <v>0.68780487804878054</v>
      </c>
      <c r="L75" s="30" t="s">
        <v>367</v>
      </c>
    </row>
    <row r="76" spans="8:12">
      <c r="H76" s="7" t="s">
        <v>196</v>
      </c>
      <c r="I76" s="7">
        <f>SUMIFS('Initiative List'!P:P,'Initiative List'!G:G,H76)</f>
        <v>5</v>
      </c>
      <c r="J76" s="7">
        <f>SUMIFS('Initiative List'!M:M,'Initiative List'!G:G,H76)-SUMIFS('Initiative List'!P:P,'Initiative List'!G:G,H76)</f>
        <v>2</v>
      </c>
      <c r="K76" s="8">
        <f>IFERROR(I76/SUMIFS('Initiative List'!M:M,'Initiative List'!G:G,H76),0)</f>
        <v>0.7142857142857143</v>
      </c>
      <c r="L76" s="30" t="s">
        <v>368</v>
      </c>
    </row>
    <row r="77" spans="8:12">
      <c r="H77" s="7" t="s">
        <v>223</v>
      </c>
      <c r="I77" s="7">
        <f>SUMIFS('Initiative List'!P:P,'Initiative List'!G:G,H77)</f>
        <v>2</v>
      </c>
      <c r="J77" s="7">
        <f>SUMIFS('Initiative List'!M:M,'Initiative List'!G:G,H77)-SUMIFS('Initiative List'!P:P,'Initiative List'!G:G,H77)</f>
        <v>0</v>
      </c>
      <c r="K77" s="8">
        <f>IFERROR(I77/SUMIFS('Initiative List'!M:M,'Initiative List'!G:G,H77),0)</f>
        <v>1</v>
      </c>
      <c r="L77" s="30" t="s">
        <v>360</v>
      </c>
    </row>
    <row r="78" spans="8:12">
      <c r="H78" s="7" t="s">
        <v>369</v>
      </c>
      <c r="I78" s="7">
        <f>SUMIFS('Initiative List'!P:P,'Initiative List'!G:G,H78)</f>
        <v>0</v>
      </c>
      <c r="J78" s="7">
        <f>SUMIFS('Initiative List'!M:M,'Initiative List'!G:G,H78)-SUMIFS('Initiative List'!P:P,'Initiative List'!G:G,H78)</f>
        <v>0</v>
      </c>
      <c r="K78" s="8">
        <f>IFERROR(I78/SUMIFS('Initiative List'!M:M,'Initiative List'!G:G,H78),0)</f>
        <v>0</v>
      </c>
      <c r="L78" s="30" t="s">
        <v>370</v>
      </c>
    </row>
    <row r="79" spans="8:12">
      <c r="H79" s="7" t="s">
        <v>57</v>
      </c>
      <c r="I79" s="7">
        <f>SUMIFS('Initiative List'!P:P,'Initiative List'!G:G,H79)</f>
        <v>0</v>
      </c>
      <c r="J79" s="7">
        <f>SUMIFS('Initiative List'!M:M,'Initiative List'!G:G,H79)-SUMIFS('Initiative List'!P:P,'Initiative List'!G:G,H79)</f>
        <v>0</v>
      </c>
      <c r="K79" s="8">
        <f>IFERROR(I79/SUMIFS('Initiative List'!M:M,'Initiative List'!G:G,H79),0)</f>
        <v>0</v>
      </c>
      <c r="L79" s="30"/>
    </row>
    <row r="80" spans="8:12" ht="28.9">
      <c r="H80" s="7" t="s">
        <v>120</v>
      </c>
      <c r="I80" s="7">
        <f>SUMIFS('Initiative List'!P:P,'Initiative List'!G:G,H80)</f>
        <v>8.9</v>
      </c>
      <c r="J80" s="7">
        <f>SUMIFS('Initiative List'!M:M,'Initiative List'!G:G,H80)-SUMIFS('Initiative List'!P:P,'Initiative List'!G:G,H80)</f>
        <v>2.0999999999999996</v>
      </c>
      <c r="K80" s="8">
        <f>IFERROR(I80/SUMIFS('Initiative List'!M:M,'Initiative List'!G:G,H80),0)</f>
        <v>0.80909090909090908</v>
      </c>
      <c r="L80" s="30" t="s">
        <v>371</v>
      </c>
    </row>
    <row r="81" spans="8:12">
      <c r="H81" s="7" t="s">
        <v>50</v>
      </c>
      <c r="I81" s="7">
        <f>SUMIFS('Initiative List'!P:P,'Initiative List'!G:G,H81)</f>
        <v>0</v>
      </c>
      <c r="J81" s="7">
        <f>SUMIFS('Initiative List'!M:M,'Initiative List'!G:G,H81)-SUMIFS('Initiative List'!P:P,'Initiative List'!G:G,H81)</f>
        <v>0</v>
      </c>
      <c r="K81" s="8">
        <f>IFERROR(I81/SUMIFS('Initiative List'!M:M,'Initiative List'!G:G,H81),0)</f>
        <v>0</v>
      </c>
      <c r="L81" s="30"/>
    </row>
    <row r="82" spans="8:12">
      <c r="H82" s="7" t="s">
        <v>126</v>
      </c>
      <c r="I82" s="7">
        <f>SUMIFS('Initiative List'!P:P,'Initiative List'!G:G,H82)</f>
        <v>4</v>
      </c>
      <c r="J82" s="7">
        <f>SUMIFS('Initiative List'!M:M,'Initiative List'!G:G,H82)-SUMIFS('Initiative List'!P:P,'Initiative List'!G:G,H82)</f>
        <v>0</v>
      </c>
      <c r="K82" s="8">
        <f>IFERROR(I82/SUMIFS('Initiative List'!M:M,'Initiative List'!G:G,H82),0)</f>
        <v>1</v>
      </c>
      <c r="L82" s="30" t="s">
        <v>22</v>
      </c>
    </row>
    <row r="83" spans="8:12">
      <c r="H83" s="7" t="s">
        <v>372</v>
      </c>
      <c r="I83" s="7">
        <f>SUMIFS('Initiative List'!P:P,'Initiative List'!G:G,H83)</f>
        <v>0</v>
      </c>
      <c r="J83" s="7">
        <f>SUMIFS('Initiative List'!M:M,'Initiative List'!G:G,H83)-SUMIFS('Initiative List'!P:P,'Initiative List'!G:G,H83)</f>
        <v>0</v>
      </c>
      <c r="K83" s="8">
        <f>IFERROR(I83/SUMIFS('Initiative List'!M:M,'Initiative List'!G:G,H83),0)</f>
        <v>0</v>
      </c>
      <c r="L83" s="30"/>
    </row>
    <row r="84" spans="8:12">
      <c r="H84" s="7" t="s">
        <v>128</v>
      </c>
      <c r="I84" s="7">
        <f>SUMIFS('Initiative List'!P:P,'Initiative List'!G:G,H84)</f>
        <v>8</v>
      </c>
      <c r="J84" s="7">
        <f>SUMIFS('Initiative List'!M:M,'Initiative List'!G:G,H84)-SUMIFS('Initiative List'!P:P,'Initiative List'!G:G,H84)</f>
        <v>0</v>
      </c>
      <c r="K84" s="8">
        <f>IFERROR(I84/SUMIFS('Initiative List'!M:M,'Initiative List'!G:G,H84),0)</f>
        <v>1</v>
      </c>
      <c r="L84" s="30" t="s">
        <v>373</v>
      </c>
    </row>
    <row r="85" spans="8:12">
      <c r="I85">
        <f>SUM(I60:I84)</f>
        <v>135.25</v>
      </c>
      <c r="J85">
        <f>SUM(J60:J84)</f>
        <v>169.74999999999997</v>
      </c>
    </row>
    <row r="86" spans="8:12">
      <c r="H86" s="29" t="s">
        <v>374</v>
      </c>
      <c r="I86" s="37">
        <f>I85+J85</f>
        <v>305</v>
      </c>
      <c r="J86" s="37"/>
    </row>
    <row r="87" spans="8:12">
      <c r="H87" s="29" t="s">
        <v>375</v>
      </c>
      <c r="I87" t="s">
        <v>376</v>
      </c>
    </row>
  </sheetData>
  <autoFilter ref="H59:L59" xr:uid="{00000000-0001-0000-0000-000000000000}"/>
  <mergeCells count="32">
    <mergeCell ref="J4:K4"/>
    <mergeCell ref="A5:B5"/>
    <mergeCell ref="G5:H5"/>
    <mergeCell ref="D4:E4"/>
    <mergeCell ref="D9:E9"/>
    <mergeCell ref="A8:B8"/>
    <mergeCell ref="A4:B4"/>
    <mergeCell ref="G4:H4"/>
    <mergeCell ref="D8:E8"/>
    <mergeCell ref="D5:E5"/>
    <mergeCell ref="A9:B9"/>
    <mergeCell ref="G9:H9"/>
    <mergeCell ref="J8:K8"/>
    <mergeCell ref="J5:K5"/>
    <mergeCell ref="G8:H8"/>
    <mergeCell ref="J9:K9"/>
    <mergeCell ref="A30:F30"/>
    <mergeCell ref="A31:F31"/>
    <mergeCell ref="A32:F32"/>
    <mergeCell ref="A33:F33"/>
    <mergeCell ref="A34:F34"/>
    <mergeCell ref="A35:F35"/>
    <mergeCell ref="A36:F36"/>
    <mergeCell ref="A37:F37"/>
    <mergeCell ref="A38:F38"/>
    <mergeCell ref="A39:F39"/>
    <mergeCell ref="A45:F45"/>
    <mergeCell ref="A40:F40"/>
    <mergeCell ref="A41:F41"/>
    <mergeCell ref="A42:F42"/>
    <mergeCell ref="A43:F43"/>
    <mergeCell ref="A44:F44"/>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901A0-BAD9-4DA0-8F66-409770A32D92}">
  <dimension ref="A1:L29"/>
  <sheetViews>
    <sheetView workbookViewId="0">
      <selection activeCell="K6" sqref="K6"/>
    </sheetView>
  </sheetViews>
  <sheetFormatPr defaultRowHeight="14.45"/>
  <cols>
    <col min="1" max="1" width="19" customWidth="1"/>
    <col min="2" max="2" width="16.7109375" hidden="1" customWidth="1"/>
    <col min="3" max="3" width="20" hidden="1" customWidth="1"/>
    <col min="4" max="4" width="11.85546875" hidden="1" customWidth="1"/>
    <col min="5" max="5" width="16.7109375" bestFit="1" customWidth="1"/>
    <col min="6" max="6" width="20" bestFit="1" customWidth="1"/>
    <col min="7" max="7" width="11.85546875" bestFit="1" customWidth="1"/>
    <col min="8" max="8" width="16.7109375" bestFit="1" customWidth="1"/>
    <col min="9" max="9" width="20" bestFit="1" customWidth="1"/>
    <col min="10" max="10" width="11.85546875" bestFit="1" customWidth="1"/>
    <col min="11" max="11" width="13.85546875" bestFit="1" customWidth="1"/>
    <col min="12" max="12" width="44.28515625" bestFit="1" customWidth="1"/>
  </cols>
  <sheetData>
    <row r="1" spans="1:12" s="22" customFormat="1" ht="32.25" customHeight="1">
      <c r="A1" s="58"/>
      <c r="B1" s="87" t="s">
        <v>377</v>
      </c>
      <c r="C1" s="88"/>
      <c r="D1" s="89"/>
      <c r="E1" s="87" t="s">
        <v>378</v>
      </c>
      <c r="F1" s="88"/>
      <c r="G1" s="89"/>
      <c r="H1" s="87" t="s">
        <v>379</v>
      </c>
      <c r="I1" s="88"/>
      <c r="J1" s="90"/>
      <c r="K1" s="64"/>
      <c r="L1" s="65"/>
    </row>
    <row r="2" spans="1:12" s="22" customFormat="1">
      <c r="A2" s="59" t="s">
        <v>6</v>
      </c>
      <c r="B2" s="60" t="s">
        <v>15</v>
      </c>
      <c r="C2" s="61" t="s">
        <v>356</v>
      </c>
      <c r="D2" s="62" t="s">
        <v>350</v>
      </c>
      <c r="E2" s="60" t="s">
        <v>15</v>
      </c>
      <c r="F2" s="61" t="s">
        <v>356</v>
      </c>
      <c r="G2" s="62" t="s">
        <v>350</v>
      </c>
      <c r="H2" s="60" t="s">
        <v>15</v>
      </c>
      <c r="I2" s="61" t="s">
        <v>356</v>
      </c>
      <c r="J2" s="63" t="s">
        <v>350</v>
      </c>
      <c r="K2" s="66" t="s">
        <v>380</v>
      </c>
      <c r="L2" s="63" t="s">
        <v>357</v>
      </c>
    </row>
    <row r="3" spans="1:12">
      <c r="A3" s="52" t="s">
        <v>27</v>
      </c>
      <c r="B3" s="45">
        <v>5.35</v>
      </c>
      <c r="C3" s="44">
        <v>5.65</v>
      </c>
      <c r="D3" s="54">
        <v>0.48636363636363633</v>
      </c>
      <c r="E3" s="45">
        <v>5.35</v>
      </c>
      <c r="F3" s="44">
        <v>13.65</v>
      </c>
      <c r="G3" s="54">
        <v>0.28157894736842104</v>
      </c>
      <c r="H3" s="45">
        <v>5.35</v>
      </c>
      <c r="I3" s="44">
        <v>13.65</v>
      </c>
      <c r="J3" s="50">
        <v>0.28157894736842104</v>
      </c>
      <c r="K3" s="56">
        <f>J3-G3</f>
        <v>0</v>
      </c>
      <c r="L3" s="46" t="s">
        <v>358</v>
      </c>
    </row>
    <row r="4" spans="1:12">
      <c r="A4" s="52" t="s">
        <v>28</v>
      </c>
      <c r="B4" s="45">
        <v>14.2</v>
      </c>
      <c r="C4" s="44">
        <v>11.8</v>
      </c>
      <c r="D4" s="54">
        <v>0.5461538461538461</v>
      </c>
      <c r="E4" s="45">
        <v>10.6</v>
      </c>
      <c r="F4" s="44">
        <v>11.4</v>
      </c>
      <c r="G4" s="54">
        <v>0.48181818181818181</v>
      </c>
      <c r="H4" s="45">
        <v>10.6</v>
      </c>
      <c r="I4" s="44">
        <v>11.4</v>
      </c>
      <c r="J4" s="50">
        <v>0.48181818181818181</v>
      </c>
      <c r="K4" s="56">
        <f t="shared" ref="K4:K27" si="0">J4-G4</f>
        <v>0</v>
      </c>
      <c r="L4" s="46" t="s">
        <v>359</v>
      </c>
    </row>
    <row r="5" spans="1:12">
      <c r="A5" s="52" t="s">
        <v>44</v>
      </c>
      <c r="B5" s="45">
        <v>4</v>
      </c>
      <c r="C5" s="44">
        <v>0</v>
      </c>
      <c r="D5" s="54">
        <v>1</v>
      </c>
      <c r="E5" s="45">
        <v>4</v>
      </c>
      <c r="F5" s="44">
        <v>0</v>
      </c>
      <c r="G5" s="54">
        <v>1</v>
      </c>
      <c r="H5" s="45">
        <v>4</v>
      </c>
      <c r="I5" s="44">
        <v>0</v>
      </c>
      <c r="J5" s="50">
        <v>1</v>
      </c>
      <c r="K5" s="56">
        <f t="shared" si="0"/>
        <v>0</v>
      </c>
      <c r="L5" s="46" t="s">
        <v>360</v>
      </c>
    </row>
    <row r="6" spans="1:12">
      <c r="A6" s="52" t="s">
        <v>67</v>
      </c>
      <c r="B6" s="45">
        <v>1.25</v>
      </c>
      <c r="C6" s="44">
        <v>4.75</v>
      </c>
      <c r="D6" s="54">
        <v>0.20833333333333334</v>
      </c>
      <c r="E6" s="45">
        <v>5.5</v>
      </c>
      <c r="F6" s="44">
        <v>4.5</v>
      </c>
      <c r="G6" s="54">
        <v>0.55000000000000004</v>
      </c>
      <c r="H6" s="45">
        <v>6</v>
      </c>
      <c r="I6" s="44">
        <v>4</v>
      </c>
      <c r="J6" s="50">
        <v>0.6</v>
      </c>
      <c r="K6" s="56">
        <f t="shared" si="0"/>
        <v>4.9999999999999933E-2</v>
      </c>
      <c r="L6" s="46"/>
    </row>
    <row r="7" spans="1:12">
      <c r="A7" s="52" t="s">
        <v>76</v>
      </c>
      <c r="B7" s="45">
        <v>3</v>
      </c>
      <c r="C7" s="44">
        <v>3</v>
      </c>
      <c r="D7" s="54">
        <v>0.5</v>
      </c>
      <c r="E7" s="45">
        <v>11</v>
      </c>
      <c r="F7" s="44">
        <v>3</v>
      </c>
      <c r="G7" s="54">
        <v>0.7857142857142857</v>
      </c>
      <c r="H7" s="45">
        <v>11</v>
      </c>
      <c r="I7" s="44">
        <v>3</v>
      </c>
      <c r="J7" s="50">
        <v>0.7857142857142857</v>
      </c>
      <c r="K7" s="56">
        <f t="shared" si="0"/>
        <v>0</v>
      </c>
      <c r="L7" s="46" t="s">
        <v>361</v>
      </c>
    </row>
    <row r="8" spans="1:12">
      <c r="A8" s="52" t="s">
        <v>82</v>
      </c>
      <c r="B8" s="45">
        <v>0</v>
      </c>
      <c r="C8" s="44">
        <v>2</v>
      </c>
      <c r="D8" s="54">
        <v>0</v>
      </c>
      <c r="E8" s="45">
        <v>0</v>
      </c>
      <c r="F8" s="44">
        <v>2</v>
      </c>
      <c r="G8" s="54">
        <v>0</v>
      </c>
      <c r="H8" s="45">
        <v>0</v>
      </c>
      <c r="I8" s="44">
        <v>2</v>
      </c>
      <c r="J8" s="50">
        <v>0</v>
      </c>
      <c r="K8" s="56">
        <f t="shared" si="0"/>
        <v>0</v>
      </c>
      <c r="L8" s="46" t="s">
        <v>362</v>
      </c>
    </row>
    <row r="9" spans="1:12">
      <c r="A9" s="52" t="s">
        <v>88</v>
      </c>
      <c r="B9" s="45">
        <v>0</v>
      </c>
      <c r="C9" s="44">
        <v>4</v>
      </c>
      <c r="D9" s="54">
        <v>0</v>
      </c>
      <c r="E9" s="45">
        <v>0</v>
      </c>
      <c r="F9" s="44">
        <v>4</v>
      </c>
      <c r="G9" s="54">
        <v>0</v>
      </c>
      <c r="H9" s="45">
        <v>0</v>
      </c>
      <c r="I9" s="44">
        <v>4</v>
      </c>
      <c r="J9" s="50">
        <v>0</v>
      </c>
      <c r="K9" s="56">
        <f t="shared" si="0"/>
        <v>0</v>
      </c>
      <c r="L9" s="46"/>
    </row>
    <row r="10" spans="1:12">
      <c r="A10" s="52" t="s">
        <v>94</v>
      </c>
      <c r="B10" s="45">
        <v>0</v>
      </c>
      <c r="C10" s="44">
        <v>4</v>
      </c>
      <c r="D10" s="54">
        <v>0</v>
      </c>
      <c r="E10" s="45">
        <v>0</v>
      </c>
      <c r="F10" s="44">
        <v>4</v>
      </c>
      <c r="G10" s="54">
        <v>0</v>
      </c>
      <c r="H10" s="45">
        <v>0</v>
      </c>
      <c r="I10" s="44">
        <v>4</v>
      </c>
      <c r="J10" s="50">
        <v>0</v>
      </c>
      <c r="K10" s="56">
        <f t="shared" si="0"/>
        <v>0</v>
      </c>
      <c r="L10" s="46"/>
    </row>
    <row r="11" spans="1:12">
      <c r="A11" s="52" t="s">
        <v>99</v>
      </c>
      <c r="B11" s="45">
        <v>5.95</v>
      </c>
      <c r="C11" s="44">
        <v>1.0499999999999998</v>
      </c>
      <c r="D11" s="54">
        <v>0.85</v>
      </c>
      <c r="E11" s="45">
        <v>5.95</v>
      </c>
      <c r="F11" s="44">
        <v>5.05</v>
      </c>
      <c r="G11" s="54">
        <v>0.54090909090909089</v>
      </c>
      <c r="H11" s="45">
        <v>6.7</v>
      </c>
      <c r="I11" s="44">
        <v>7.3</v>
      </c>
      <c r="J11" s="50">
        <v>0.47857142857142859</v>
      </c>
      <c r="K11" s="56">
        <f t="shared" si="0"/>
        <v>-6.2337662337662303E-2</v>
      </c>
      <c r="L11" s="46" t="s">
        <v>381</v>
      </c>
    </row>
    <row r="12" spans="1:12">
      <c r="A12" s="52" t="s">
        <v>105</v>
      </c>
      <c r="B12" s="45">
        <v>7</v>
      </c>
      <c r="C12" s="44">
        <v>3</v>
      </c>
      <c r="D12" s="54">
        <v>0.7</v>
      </c>
      <c r="E12" s="45">
        <v>7</v>
      </c>
      <c r="F12" s="44">
        <v>3</v>
      </c>
      <c r="G12" s="54">
        <v>0.7</v>
      </c>
      <c r="H12" s="45">
        <v>7</v>
      </c>
      <c r="I12" s="44">
        <v>3</v>
      </c>
      <c r="J12" s="50">
        <v>0.7</v>
      </c>
      <c r="K12" s="56">
        <f t="shared" si="0"/>
        <v>0</v>
      </c>
      <c r="L12" s="46" t="s">
        <v>364</v>
      </c>
    </row>
    <row r="13" spans="1:12">
      <c r="A13" s="52" t="s">
        <v>137</v>
      </c>
      <c r="B13" s="45">
        <v>6.75</v>
      </c>
      <c r="C13" s="44">
        <v>9.25</v>
      </c>
      <c r="D13" s="54">
        <v>0.421875</v>
      </c>
      <c r="E13" s="45">
        <v>16.25</v>
      </c>
      <c r="F13" s="44">
        <v>10.75</v>
      </c>
      <c r="G13" s="54">
        <v>0.60185185185185186</v>
      </c>
      <c r="H13" s="45">
        <v>16.25</v>
      </c>
      <c r="I13" s="44">
        <v>10.75</v>
      </c>
      <c r="J13" s="50">
        <v>0.60185185185185186</v>
      </c>
      <c r="K13" s="56">
        <f t="shared" si="0"/>
        <v>0</v>
      </c>
      <c r="L13" s="46"/>
    </row>
    <row r="14" spans="1:12">
      <c r="A14" s="52" t="s">
        <v>150</v>
      </c>
      <c r="B14" s="45">
        <v>0.25</v>
      </c>
      <c r="C14" s="44">
        <v>86.75</v>
      </c>
      <c r="D14" s="54">
        <v>2.8735632183908046E-3</v>
      </c>
      <c r="E14" s="45">
        <v>0.25</v>
      </c>
      <c r="F14" s="44">
        <v>80.75</v>
      </c>
      <c r="G14" s="54">
        <v>3.0864197530864196E-3</v>
      </c>
      <c r="H14" s="45">
        <v>0.25</v>
      </c>
      <c r="I14" s="44">
        <v>80.75</v>
      </c>
      <c r="J14" s="50">
        <v>3.0864197530864196E-3</v>
      </c>
      <c r="K14" s="56">
        <f t="shared" si="0"/>
        <v>0</v>
      </c>
      <c r="L14" s="46"/>
    </row>
    <row r="15" spans="1:12">
      <c r="A15" s="52" t="s">
        <v>166</v>
      </c>
      <c r="B15" s="45">
        <v>4</v>
      </c>
      <c r="C15" s="44">
        <v>0</v>
      </c>
      <c r="D15" s="54">
        <v>1</v>
      </c>
      <c r="E15" s="45">
        <v>4</v>
      </c>
      <c r="F15" s="44">
        <v>0</v>
      </c>
      <c r="G15" s="54">
        <v>1</v>
      </c>
      <c r="H15" s="45">
        <v>4</v>
      </c>
      <c r="I15" s="44">
        <v>0</v>
      </c>
      <c r="J15" s="50">
        <v>1</v>
      </c>
      <c r="K15" s="56">
        <f t="shared" si="0"/>
        <v>0</v>
      </c>
      <c r="L15" s="46" t="s">
        <v>365</v>
      </c>
    </row>
    <row r="16" spans="1:12">
      <c r="A16" s="52" t="s">
        <v>142</v>
      </c>
      <c r="B16" s="45">
        <v>4</v>
      </c>
      <c r="C16" s="44">
        <v>3</v>
      </c>
      <c r="D16" s="54">
        <v>0.5714285714285714</v>
      </c>
      <c r="E16" s="45">
        <v>8</v>
      </c>
      <c r="F16" s="44">
        <v>7</v>
      </c>
      <c r="G16" s="54">
        <v>0.53333333333333333</v>
      </c>
      <c r="H16" s="45">
        <v>8</v>
      </c>
      <c r="I16" s="44">
        <v>7</v>
      </c>
      <c r="J16" s="50">
        <v>0.53333333333333333</v>
      </c>
      <c r="K16" s="56">
        <f t="shared" si="0"/>
        <v>0</v>
      </c>
      <c r="L16" s="46" t="s">
        <v>366</v>
      </c>
    </row>
    <row r="17" spans="1:12">
      <c r="A17" s="52" t="s">
        <v>181</v>
      </c>
      <c r="B17" s="45">
        <v>0</v>
      </c>
      <c r="C17" s="44">
        <v>2</v>
      </c>
      <c r="D17" s="54">
        <v>0</v>
      </c>
      <c r="E17" s="45">
        <v>0</v>
      </c>
      <c r="F17" s="44">
        <v>2</v>
      </c>
      <c r="G17" s="54">
        <v>0</v>
      </c>
      <c r="H17" s="45">
        <v>0</v>
      </c>
      <c r="I17" s="44">
        <v>2</v>
      </c>
      <c r="J17" s="50">
        <v>0</v>
      </c>
      <c r="K17" s="56">
        <f t="shared" si="0"/>
        <v>0</v>
      </c>
      <c r="L17" s="46"/>
    </row>
    <row r="18" spans="1:12">
      <c r="A18" s="52" t="s">
        <v>77</v>
      </c>
      <c r="B18" s="45">
        <v>28.05</v>
      </c>
      <c r="C18" s="44">
        <v>12.95</v>
      </c>
      <c r="D18" s="54">
        <v>0.68414634146341469</v>
      </c>
      <c r="E18" s="45">
        <v>28.05</v>
      </c>
      <c r="F18" s="44">
        <v>12.95</v>
      </c>
      <c r="G18" s="54">
        <v>0.68414634146341469</v>
      </c>
      <c r="H18" s="45">
        <v>28.05</v>
      </c>
      <c r="I18" s="44">
        <v>12.95</v>
      </c>
      <c r="J18" s="50">
        <v>0.68414634146341469</v>
      </c>
      <c r="K18" s="56">
        <f t="shared" si="0"/>
        <v>0</v>
      </c>
      <c r="L18" s="46" t="s">
        <v>367</v>
      </c>
    </row>
    <row r="19" spans="1:12">
      <c r="A19" s="52" t="s">
        <v>196</v>
      </c>
      <c r="B19" s="45">
        <v>5</v>
      </c>
      <c r="C19" s="44">
        <v>2</v>
      </c>
      <c r="D19" s="54">
        <v>0.7142857142857143</v>
      </c>
      <c r="E19" s="45">
        <v>5</v>
      </c>
      <c r="F19" s="44">
        <v>2</v>
      </c>
      <c r="G19" s="54">
        <v>0.7142857142857143</v>
      </c>
      <c r="H19" s="45">
        <v>5</v>
      </c>
      <c r="I19" s="44">
        <v>2</v>
      </c>
      <c r="J19" s="50">
        <v>0.7142857142857143</v>
      </c>
      <c r="K19" s="56">
        <f t="shared" si="0"/>
        <v>0</v>
      </c>
      <c r="L19" s="46" t="s">
        <v>368</v>
      </c>
    </row>
    <row r="20" spans="1:12">
      <c r="A20" s="52" t="s">
        <v>223</v>
      </c>
      <c r="B20" s="45">
        <v>2</v>
      </c>
      <c r="C20" s="44">
        <v>0</v>
      </c>
      <c r="D20" s="54">
        <v>1</v>
      </c>
      <c r="E20" s="45">
        <v>2</v>
      </c>
      <c r="F20" s="44">
        <v>0</v>
      </c>
      <c r="G20" s="54">
        <v>1</v>
      </c>
      <c r="H20" s="45">
        <v>2</v>
      </c>
      <c r="I20" s="44">
        <v>0</v>
      </c>
      <c r="J20" s="50">
        <v>1</v>
      </c>
      <c r="K20" s="56">
        <f t="shared" si="0"/>
        <v>0</v>
      </c>
      <c r="L20" s="46" t="s">
        <v>360</v>
      </c>
    </row>
    <row r="21" spans="1:12">
      <c r="A21" s="52" t="s">
        <v>369</v>
      </c>
      <c r="B21" s="45">
        <v>0</v>
      </c>
      <c r="C21" s="44">
        <v>0</v>
      </c>
      <c r="D21" s="54">
        <v>0</v>
      </c>
      <c r="E21" s="45">
        <v>0</v>
      </c>
      <c r="F21" s="44">
        <v>0</v>
      </c>
      <c r="G21" s="54">
        <v>0</v>
      </c>
      <c r="H21" s="45">
        <v>0</v>
      </c>
      <c r="I21" s="44">
        <v>0</v>
      </c>
      <c r="J21" s="50">
        <v>0</v>
      </c>
      <c r="K21" s="56">
        <f t="shared" si="0"/>
        <v>0</v>
      </c>
      <c r="L21" s="46" t="s">
        <v>370</v>
      </c>
    </row>
    <row r="22" spans="1:12">
      <c r="A22" s="52" t="s">
        <v>57</v>
      </c>
      <c r="B22" s="45">
        <v>0</v>
      </c>
      <c r="C22" s="44">
        <v>0</v>
      </c>
      <c r="D22" s="54">
        <v>0</v>
      </c>
      <c r="E22" s="45">
        <v>0</v>
      </c>
      <c r="F22" s="44">
        <v>0</v>
      </c>
      <c r="G22" s="54">
        <v>0</v>
      </c>
      <c r="H22" s="45">
        <v>0</v>
      </c>
      <c r="I22" s="44">
        <v>0</v>
      </c>
      <c r="J22" s="50">
        <v>0</v>
      </c>
      <c r="K22" s="56">
        <f t="shared" si="0"/>
        <v>0</v>
      </c>
      <c r="L22" s="46"/>
    </row>
    <row r="23" spans="1:12">
      <c r="A23" s="52" t="s">
        <v>120</v>
      </c>
      <c r="B23" s="45">
        <v>0</v>
      </c>
      <c r="C23" s="44">
        <v>0</v>
      </c>
      <c r="D23" s="54">
        <v>0</v>
      </c>
      <c r="E23" s="45">
        <v>8.75</v>
      </c>
      <c r="F23" s="44">
        <v>2.25</v>
      </c>
      <c r="G23" s="54">
        <v>0.79545454545454541</v>
      </c>
      <c r="H23" s="45">
        <v>8.75</v>
      </c>
      <c r="I23" s="44">
        <v>2.25</v>
      </c>
      <c r="J23" s="50">
        <v>0.79545454545454541</v>
      </c>
      <c r="K23" s="56">
        <f t="shared" si="0"/>
        <v>0</v>
      </c>
      <c r="L23" s="46" t="s">
        <v>371</v>
      </c>
    </row>
    <row r="24" spans="1:12">
      <c r="A24" s="52" t="s">
        <v>50</v>
      </c>
      <c r="B24" s="45">
        <v>0</v>
      </c>
      <c r="C24" s="44">
        <v>0</v>
      </c>
      <c r="D24" s="54">
        <v>0</v>
      </c>
      <c r="E24" s="45">
        <v>0</v>
      </c>
      <c r="F24" s="44">
        <v>0</v>
      </c>
      <c r="G24" s="54">
        <v>0</v>
      </c>
      <c r="H24" s="45">
        <v>0</v>
      </c>
      <c r="I24" s="44">
        <v>0</v>
      </c>
      <c r="J24" s="50">
        <v>0</v>
      </c>
      <c r="K24" s="56">
        <f t="shared" si="0"/>
        <v>0</v>
      </c>
      <c r="L24" s="46"/>
    </row>
    <row r="25" spans="1:12">
      <c r="A25" s="52" t="s">
        <v>126</v>
      </c>
      <c r="B25" s="45">
        <v>0</v>
      </c>
      <c r="C25" s="44">
        <v>0</v>
      </c>
      <c r="D25" s="54">
        <v>0</v>
      </c>
      <c r="E25" s="45">
        <v>4</v>
      </c>
      <c r="F25" s="44">
        <v>0</v>
      </c>
      <c r="G25" s="54">
        <v>1</v>
      </c>
      <c r="H25" s="45">
        <v>4</v>
      </c>
      <c r="I25" s="44">
        <v>0</v>
      </c>
      <c r="J25" s="50">
        <v>1</v>
      </c>
      <c r="K25" s="56">
        <f t="shared" si="0"/>
        <v>0</v>
      </c>
      <c r="L25" s="46" t="s">
        <v>22</v>
      </c>
    </row>
    <row r="26" spans="1:12">
      <c r="A26" s="52" t="s">
        <v>372</v>
      </c>
      <c r="B26" s="45">
        <v>0</v>
      </c>
      <c r="C26" s="44">
        <v>0</v>
      </c>
      <c r="D26" s="54">
        <v>0</v>
      </c>
      <c r="E26" s="45">
        <v>0</v>
      </c>
      <c r="F26" s="44">
        <v>0</v>
      </c>
      <c r="G26" s="54">
        <v>0</v>
      </c>
      <c r="H26" s="45">
        <v>0</v>
      </c>
      <c r="I26" s="44">
        <v>0</v>
      </c>
      <c r="J26" s="50">
        <v>0</v>
      </c>
      <c r="K26" s="56">
        <f t="shared" si="0"/>
        <v>0</v>
      </c>
      <c r="L26" s="46"/>
    </row>
    <row r="27" spans="1:12">
      <c r="A27" s="53" t="s">
        <v>128</v>
      </c>
      <c r="B27" s="47">
        <v>0</v>
      </c>
      <c r="C27" s="48">
        <v>0</v>
      </c>
      <c r="D27" s="55">
        <v>0</v>
      </c>
      <c r="E27" s="47">
        <v>8</v>
      </c>
      <c r="F27" s="48">
        <v>0</v>
      </c>
      <c r="G27" s="55">
        <v>1</v>
      </c>
      <c r="H27" s="47">
        <v>8</v>
      </c>
      <c r="I27" s="48">
        <v>0</v>
      </c>
      <c r="J27" s="51">
        <v>1</v>
      </c>
      <c r="K27" s="57">
        <f t="shared" si="0"/>
        <v>0</v>
      </c>
      <c r="L27" s="49" t="s">
        <v>373</v>
      </c>
    </row>
    <row r="28" spans="1:12">
      <c r="B28">
        <f>SUM(B3:B27)</f>
        <v>90.8</v>
      </c>
      <c r="C28">
        <f>SUM(C3:C27)</f>
        <v>155.19999999999999</v>
      </c>
      <c r="E28">
        <f>SUM(E3:E27)</f>
        <v>133.69999999999999</v>
      </c>
      <c r="F28">
        <f>SUM(F3:F27)</f>
        <v>168.29999999999998</v>
      </c>
      <c r="H28">
        <f>SUM(H3:H27)</f>
        <v>134.94999999999999</v>
      </c>
      <c r="I28">
        <f>SUM(I3:I27)</f>
        <v>170.04999999999998</v>
      </c>
    </row>
    <row r="29" spans="1:12">
      <c r="A29" s="29" t="s">
        <v>374</v>
      </c>
      <c r="B29" s="86">
        <f>B28+C28</f>
        <v>246</v>
      </c>
      <c r="C29" s="86"/>
      <c r="E29" s="86">
        <f>E28+F28</f>
        <v>302</v>
      </c>
      <c r="F29" s="86"/>
      <c r="H29" s="86">
        <f>H28+I28</f>
        <v>305</v>
      </c>
      <c r="I29" s="86"/>
    </row>
  </sheetData>
  <mergeCells count="6">
    <mergeCell ref="B29:C29"/>
    <mergeCell ref="B1:D1"/>
    <mergeCell ref="E1:G1"/>
    <mergeCell ref="E29:F29"/>
    <mergeCell ref="H1:J1"/>
    <mergeCell ref="H29:I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A31BC-2195-4507-95C0-F468AAAAA76E}">
  <dimension ref="A1:K35"/>
  <sheetViews>
    <sheetView workbookViewId="0">
      <selection activeCell="J10" sqref="J10"/>
    </sheetView>
  </sheetViews>
  <sheetFormatPr defaultRowHeight="14.45"/>
  <cols>
    <col min="1" max="1" width="36" bestFit="1" customWidth="1"/>
    <col min="2" max="2" width="16.7109375" hidden="1" customWidth="1"/>
    <col min="3" max="3" width="20" hidden="1" customWidth="1"/>
    <col min="4" max="4" width="12.5703125" hidden="1" customWidth="1"/>
    <col min="5" max="5" width="28.28515625" hidden="1" customWidth="1"/>
    <col min="6" max="6" width="15.5703125" hidden="1" customWidth="1"/>
    <col min="7" max="7" width="16.42578125" bestFit="1" customWidth="1"/>
    <col min="8" max="8" width="21" bestFit="1" customWidth="1"/>
    <col min="9" max="9" width="17.7109375" bestFit="1" customWidth="1"/>
    <col min="10" max="11" width="28.28515625" customWidth="1"/>
  </cols>
  <sheetData>
    <row r="1" spans="1:11">
      <c r="A1" s="68" t="s">
        <v>6</v>
      </c>
      <c r="B1" s="68" t="s">
        <v>15</v>
      </c>
      <c r="C1" s="68" t="s">
        <v>356</v>
      </c>
      <c r="D1" s="68" t="s">
        <v>350</v>
      </c>
      <c r="E1" s="68" t="s">
        <v>357</v>
      </c>
      <c r="F1" s="68" t="s">
        <v>382</v>
      </c>
      <c r="G1" s="68" t="s">
        <v>383</v>
      </c>
      <c r="H1" s="68" t="s">
        <v>384</v>
      </c>
      <c r="I1" s="68" t="s">
        <v>385</v>
      </c>
      <c r="J1" s="68" t="s">
        <v>386</v>
      </c>
      <c r="K1" s="68" t="s">
        <v>387</v>
      </c>
    </row>
    <row r="2" spans="1:11">
      <c r="A2" s="32" t="s">
        <v>27</v>
      </c>
      <c r="B2" s="32">
        <v>5.35</v>
      </c>
      <c r="C2" s="32">
        <v>13.65</v>
      </c>
      <c r="D2" s="32">
        <v>0.28157894736842098</v>
      </c>
      <c r="E2" s="32" t="s">
        <v>358</v>
      </c>
      <c r="F2" s="32">
        <v>40</v>
      </c>
      <c r="G2" s="32">
        <v>24</v>
      </c>
      <c r="H2" s="32">
        <v>0</v>
      </c>
      <c r="I2" s="32">
        <v>16</v>
      </c>
      <c r="J2" s="32" t="s">
        <v>388</v>
      </c>
      <c r="K2" s="32" t="s">
        <v>389</v>
      </c>
    </row>
    <row r="3" spans="1:11">
      <c r="A3" s="32" t="s">
        <v>28</v>
      </c>
      <c r="B3" s="32">
        <v>10.6</v>
      </c>
      <c r="C3" s="32">
        <v>11.4</v>
      </c>
      <c r="D3" s="32">
        <v>0.48181818181818181</v>
      </c>
      <c r="E3" s="32" t="s">
        <v>359</v>
      </c>
      <c r="F3" s="32">
        <v>0</v>
      </c>
      <c r="G3" s="32">
        <v>0</v>
      </c>
      <c r="H3" s="32">
        <v>0</v>
      </c>
      <c r="I3" s="32">
        <v>0</v>
      </c>
      <c r="J3" s="32" t="s">
        <v>390</v>
      </c>
      <c r="K3" s="32" t="s">
        <v>391</v>
      </c>
    </row>
    <row r="4" spans="1:11">
      <c r="A4" s="32" t="s">
        <v>44</v>
      </c>
      <c r="B4" s="32">
        <v>4</v>
      </c>
      <c r="C4" s="32">
        <v>0</v>
      </c>
      <c r="D4" s="32">
        <v>1</v>
      </c>
      <c r="E4" s="32" t="s">
        <v>360</v>
      </c>
      <c r="F4" s="32">
        <v>8</v>
      </c>
      <c r="G4" s="32">
        <v>8</v>
      </c>
      <c r="H4" s="32">
        <v>0</v>
      </c>
      <c r="I4" s="32">
        <v>0</v>
      </c>
      <c r="J4" s="32" t="s">
        <v>392</v>
      </c>
      <c r="K4" s="32" t="s">
        <v>389</v>
      </c>
    </row>
    <row r="5" spans="1:11">
      <c r="A5" s="32" t="s">
        <v>67</v>
      </c>
      <c r="B5" s="32">
        <v>6</v>
      </c>
      <c r="C5" s="32">
        <v>4</v>
      </c>
      <c r="D5" s="32">
        <v>0.6</v>
      </c>
      <c r="E5" s="32"/>
      <c r="F5" s="32">
        <v>40</v>
      </c>
      <c r="G5" s="32">
        <v>16</v>
      </c>
      <c r="H5" s="32">
        <v>8</v>
      </c>
      <c r="I5" s="32">
        <v>16</v>
      </c>
      <c r="J5" s="32" t="s">
        <v>393</v>
      </c>
      <c r="K5" s="32" t="s">
        <v>389</v>
      </c>
    </row>
    <row r="6" spans="1:11">
      <c r="A6" s="32" t="s">
        <v>76</v>
      </c>
      <c r="B6" s="32">
        <v>11</v>
      </c>
      <c r="C6" s="32">
        <v>3</v>
      </c>
      <c r="D6" s="32">
        <v>0.7857142857142857</v>
      </c>
      <c r="E6" s="32" t="s">
        <v>361</v>
      </c>
      <c r="F6" s="32">
        <v>40</v>
      </c>
      <c r="G6" s="32">
        <v>24</v>
      </c>
      <c r="H6" s="32">
        <v>0</v>
      </c>
      <c r="I6" s="32">
        <v>16</v>
      </c>
      <c r="J6" s="32" t="s">
        <v>388</v>
      </c>
      <c r="K6" s="32" t="s">
        <v>389</v>
      </c>
    </row>
    <row r="7" spans="1:11">
      <c r="A7" s="32" t="s">
        <v>82</v>
      </c>
      <c r="B7" s="32">
        <v>0</v>
      </c>
      <c r="C7" s="32">
        <v>2</v>
      </c>
      <c r="D7" s="32">
        <v>0</v>
      </c>
      <c r="E7" s="32" t="s">
        <v>362</v>
      </c>
      <c r="F7" s="32">
        <v>0</v>
      </c>
      <c r="G7" s="32">
        <v>0</v>
      </c>
      <c r="H7" s="32">
        <v>0</v>
      </c>
      <c r="I7" s="32">
        <v>0</v>
      </c>
      <c r="J7" s="32" t="s">
        <v>390</v>
      </c>
      <c r="K7" s="32" t="s">
        <v>391</v>
      </c>
    </row>
    <row r="8" spans="1:11">
      <c r="A8" s="32" t="s">
        <v>88</v>
      </c>
      <c r="B8" s="32">
        <v>0</v>
      </c>
      <c r="C8" s="32">
        <v>4</v>
      </c>
      <c r="D8" s="32">
        <v>0</v>
      </c>
      <c r="E8" s="32"/>
      <c r="F8" s="32">
        <v>0</v>
      </c>
      <c r="G8" s="32">
        <v>0</v>
      </c>
      <c r="H8" s="32">
        <v>0</v>
      </c>
      <c r="I8" s="32">
        <v>0</v>
      </c>
      <c r="J8" s="32" t="s">
        <v>390</v>
      </c>
      <c r="K8" s="32" t="s">
        <v>391</v>
      </c>
    </row>
    <row r="9" spans="1:11">
      <c r="A9" s="32" t="s">
        <v>94</v>
      </c>
      <c r="B9" s="32">
        <v>0</v>
      </c>
      <c r="C9" s="32">
        <v>4</v>
      </c>
      <c r="D9" s="32">
        <v>0</v>
      </c>
      <c r="E9" s="32"/>
      <c r="F9" s="32">
        <v>0</v>
      </c>
      <c r="G9" s="32">
        <v>0</v>
      </c>
      <c r="H9" s="32">
        <v>0</v>
      </c>
      <c r="I9" s="32">
        <v>0</v>
      </c>
      <c r="J9" s="32" t="s">
        <v>390</v>
      </c>
      <c r="K9" s="32" t="s">
        <v>391</v>
      </c>
    </row>
    <row r="10" spans="1:11">
      <c r="A10" s="32" t="s">
        <v>99</v>
      </c>
      <c r="B10" s="32">
        <v>6.7</v>
      </c>
      <c r="C10" s="32">
        <v>7.3</v>
      </c>
      <c r="D10" s="32">
        <v>0.47857142857142859</v>
      </c>
      <c r="E10" s="32" t="s">
        <v>363</v>
      </c>
      <c r="F10" s="32">
        <v>40</v>
      </c>
      <c r="G10" s="32">
        <v>0</v>
      </c>
      <c r="H10" s="32">
        <v>0</v>
      </c>
      <c r="I10" s="32">
        <v>40</v>
      </c>
      <c r="J10" s="32" t="s">
        <v>390</v>
      </c>
      <c r="K10" s="32" t="s">
        <v>394</v>
      </c>
    </row>
    <row r="11" spans="1:11" ht="43.15">
      <c r="A11" s="32" t="s">
        <v>105</v>
      </c>
      <c r="B11" s="32">
        <v>7</v>
      </c>
      <c r="C11" s="32">
        <v>3</v>
      </c>
      <c r="D11" s="32">
        <v>0.7</v>
      </c>
      <c r="E11" s="32" t="s">
        <v>364</v>
      </c>
      <c r="F11" s="32">
        <v>40</v>
      </c>
      <c r="G11" s="32">
        <v>24</v>
      </c>
      <c r="H11" s="32">
        <v>0</v>
      </c>
      <c r="I11" s="32">
        <v>16</v>
      </c>
      <c r="J11" s="32" t="s">
        <v>395</v>
      </c>
      <c r="K11" s="32" t="s">
        <v>389</v>
      </c>
    </row>
    <row r="12" spans="1:11">
      <c r="A12" s="32" t="s">
        <v>137</v>
      </c>
      <c r="B12" s="32">
        <v>16.25</v>
      </c>
      <c r="C12" s="32">
        <v>10.75</v>
      </c>
      <c r="D12" s="32">
        <v>0.60185185185185186</v>
      </c>
      <c r="E12" s="32"/>
      <c r="F12" s="32">
        <v>40</v>
      </c>
      <c r="G12" s="32">
        <v>8</v>
      </c>
      <c r="H12" s="32">
        <v>8</v>
      </c>
      <c r="I12" s="32">
        <v>24</v>
      </c>
      <c r="J12" s="32" t="s">
        <v>392</v>
      </c>
      <c r="K12" s="32" t="s">
        <v>396</v>
      </c>
    </row>
    <row r="13" spans="1:11">
      <c r="A13" s="32" t="s">
        <v>150</v>
      </c>
      <c r="B13" s="32">
        <v>0.25</v>
      </c>
      <c r="C13" s="32">
        <v>80.75</v>
      </c>
      <c r="D13" s="32">
        <v>3.08641975308642E-3</v>
      </c>
      <c r="E13" s="32"/>
      <c r="F13" s="32">
        <v>0</v>
      </c>
      <c r="G13" s="32">
        <v>0</v>
      </c>
      <c r="H13" s="32">
        <v>0</v>
      </c>
      <c r="I13" s="32">
        <v>0</v>
      </c>
      <c r="J13" s="32" t="s">
        <v>390</v>
      </c>
      <c r="K13" s="32" t="s">
        <v>391</v>
      </c>
    </row>
    <row r="14" spans="1:11">
      <c r="A14" s="32" t="s">
        <v>166</v>
      </c>
      <c r="B14" s="32">
        <v>4</v>
      </c>
      <c r="C14" s="32">
        <v>0</v>
      </c>
      <c r="D14" s="32">
        <v>1</v>
      </c>
      <c r="E14" s="32" t="s">
        <v>365</v>
      </c>
      <c r="F14" s="32">
        <v>0</v>
      </c>
      <c r="G14" s="32">
        <v>0</v>
      </c>
      <c r="H14" s="32">
        <v>0</v>
      </c>
      <c r="I14" s="32">
        <v>0</v>
      </c>
      <c r="J14" s="32" t="s">
        <v>390</v>
      </c>
      <c r="K14" s="32" t="s">
        <v>391</v>
      </c>
    </row>
    <row r="15" spans="1:11" ht="28.9">
      <c r="A15" s="32" t="s">
        <v>142</v>
      </c>
      <c r="B15" s="32">
        <v>8</v>
      </c>
      <c r="C15" s="32">
        <v>7</v>
      </c>
      <c r="D15" s="32">
        <v>0.53333333333333333</v>
      </c>
      <c r="E15" s="32" t="s">
        <v>366</v>
      </c>
      <c r="F15" s="32">
        <v>40</v>
      </c>
      <c r="G15" s="32">
        <v>22</v>
      </c>
      <c r="H15" s="32">
        <v>2</v>
      </c>
      <c r="I15" s="32">
        <v>16</v>
      </c>
      <c r="J15" s="32" t="s">
        <v>397</v>
      </c>
      <c r="K15" s="32" t="s">
        <v>389</v>
      </c>
    </row>
    <row r="16" spans="1:11">
      <c r="A16" s="32" t="s">
        <v>181</v>
      </c>
      <c r="B16" s="32">
        <v>0</v>
      </c>
      <c r="C16" s="32">
        <v>2</v>
      </c>
      <c r="D16" s="32">
        <v>0</v>
      </c>
      <c r="E16" s="32"/>
      <c r="F16" s="32">
        <v>0</v>
      </c>
      <c r="G16" s="32">
        <v>0</v>
      </c>
      <c r="H16" s="32">
        <v>0</v>
      </c>
      <c r="I16" s="32">
        <v>0</v>
      </c>
      <c r="J16" s="32" t="s">
        <v>390</v>
      </c>
      <c r="K16" s="32" t="s">
        <v>391</v>
      </c>
    </row>
    <row r="17" spans="1:11">
      <c r="A17" s="32" t="s">
        <v>77</v>
      </c>
      <c r="B17" s="32">
        <v>28.05</v>
      </c>
      <c r="C17" s="32">
        <v>12.95</v>
      </c>
      <c r="D17" s="32">
        <v>0.68414634146341469</v>
      </c>
      <c r="E17" s="32" t="s">
        <v>367</v>
      </c>
      <c r="F17" s="32">
        <v>40</v>
      </c>
      <c r="G17" s="32">
        <v>0</v>
      </c>
      <c r="H17" s="32">
        <v>0</v>
      </c>
      <c r="I17" s="32">
        <v>40</v>
      </c>
      <c r="J17" s="32" t="s">
        <v>390</v>
      </c>
      <c r="K17" s="32" t="s">
        <v>394</v>
      </c>
    </row>
    <row r="18" spans="1:11">
      <c r="A18" s="32" t="s">
        <v>196</v>
      </c>
      <c r="B18" s="32">
        <v>5</v>
      </c>
      <c r="C18" s="32">
        <v>2</v>
      </c>
      <c r="D18" s="32">
        <v>0.7142857142857143</v>
      </c>
      <c r="E18" s="32" t="s">
        <v>368</v>
      </c>
      <c r="F18" s="32">
        <v>40</v>
      </c>
      <c r="G18" s="32">
        <v>18</v>
      </c>
      <c r="H18" s="32">
        <v>6</v>
      </c>
      <c r="I18" s="32">
        <v>16</v>
      </c>
      <c r="J18" s="32" t="s">
        <v>398</v>
      </c>
      <c r="K18" s="32" t="s">
        <v>389</v>
      </c>
    </row>
    <row r="19" spans="1:11">
      <c r="A19" s="32" t="s">
        <v>223</v>
      </c>
      <c r="B19" s="32">
        <v>2</v>
      </c>
      <c r="C19" s="32">
        <v>0</v>
      </c>
      <c r="D19" s="32">
        <v>1</v>
      </c>
      <c r="E19" s="32" t="s">
        <v>360</v>
      </c>
      <c r="F19" s="32">
        <v>0</v>
      </c>
      <c r="G19" s="32">
        <v>0</v>
      </c>
      <c r="H19" s="32">
        <v>0</v>
      </c>
      <c r="I19" s="32">
        <v>0</v>
      </c>
      <c r="J19" s="32" t="s">
        <v>390</v>
      </c>
      <c r="K19" s="32" t="s">
        <v>391</v>
      </c>
    </row>
    <row r="20" spans="1:11">
      <c r="A20" s="32" t="s">
        <v>369</v>
      </c>
      <c r="B20" s="32">
        <v>0</v>
      </c>
      <c r="C20" s="32">
        <v>0</v>
      </c>
      <c r="D20" s="32">
        <v>0</v>
      </c>
      <c r="E20" s="32" t="s">
        <v>370</v>
      </c>
      <c r="F20" s="32">
        <v>0</v>
      </c>
      <c r="G20" s="32">
        <v>0</v>
      </c>
      <c r="H20" s="32">
        <v>0</v>
      </c>
      <c r="I20" s="32">
        <v>0</v>
      </c>
      <c r="J20" s="32" t="s">
        <v>390</v>
      </c>
      <c r="K20" s="32" t="s">
        <v>391</v>
      </c>
    </row>
    <row r="21" spans="1:11">
      <c r="A21" s="32" t="s">
        <v>57</v>
      </c>
      <c r="B21" s="32">
        <v>0</v>
      </c>
      <c r="C21" s="32">
        <v>0</v>
      </c>
      <c r="D21" s="32">
        <v>0</v>
      </c>
      <c r="E21" s="32"/>
      <c r="F21" s="32">
        <v>0</v>
      </c>
      <c r="G21" s="32">
        <v>0</v>
      </c>
      <c r="H21" s="32">
        <v>0</v>
      </c>
      <c r="I21" s="32">
        <v>0</v>
      </c>
      <c r="J21" s="32" t="s">
        <v>390</v>
      </c>
      <c r="K21" s="32" t="s">
        <v>391</v>
      </c>
    </row>
    <row r="22" spans="1:11" ht="28.9">
      <c r="A22" s="32" t="s">
        <v>120</v>
      </c>
      <c r="B22" s="32">
        <v>8.75</v>
      </c>
      <c r="C22" s="32">
        <v>2.25</v>
      </c>
      <c r="D22" s="32">
        <v>0.79545454545454541</v>
      </c>
      <c r="E22" s="32" t="s">
        <v>371</v>
      </c>
      <c r="F22" s="32">
        <v>40</v>
      </c>
      <c r="G22" s="32">
        <v>0</v>
      </c>
      <c r="H22" s="32">
        <v>24</v>
      </c>
      <c r="I22" s="32">
        <v>16</v>
      </c>
      <c r="J22" s="32" t="s">
        <v>390</v>
      </c>
      <c r="K22" s="32" t="s">
        <v>396</v>
      </c>
    </row>
    <row r="23" spans="1:11">
      <c r="A23" s="32" t="s">
        <v>50</v>
      </c>
      <c r="B23" s="32">
        <v>0</v>
      </c>
      <c r="C23" s="32">
        <v>0</v>
      </c>
      <c r="D23" s="32">
        <v>0</v>
      </c>
      <c r="E23" s="32"/>
      <c r="F23" s="32">
        <v>0</v>
      </c>
      <c r="G23" s="32">
        <v>0</v>
      </c>
      <c r="H23" s="32">
        <v>0</v>
      </c>
      <c r="I23" s="32">
        <v>0</v>
      </c>
      <c r="J23" s="32" t="s">
        <v>390</v>
      </c>
      <c r="K23" s="32" t="s">
        <v>391</v>
      </c>
    </row>
    <row r="24" spans="1:11">
      <c r="A24" s="32" t="s">
        <v>126</v>
      </c>
      <c r="B24" s="32">
        <v>4</v>
      </c>
      <c r="C24" s="32">
        <v>0</v>
      </c>
      <c r="D24" s="32">
        <v>1</v>
      </c>
      <c r="E24" s="32" t="s">
        <v>22</v>
      </c>
      <c r="F24" s="32">
        <v>40</v>
      </c>
      <c r="G24" s="32">
        <v>24</v>
      </c>
      <c r="H24" s="32">
        <v>0</v>
      </c>
      <c r="I24" s="32">
        <v>16</v>
      </c>
      <c r="J24" s="32" t="s">
        <v>388</v>
      </c>
      <c r="K24" s="32" t="s">
        <v>389</v>
      </c>
    </row>
    <row r="25" spans="1:11">
      <c r="A25" s="32" t="s">
        <v>372</v>
      </c>
      <c r="B25" s="32">
        <v>0</v>
      </c>
      <c r="C25" s="32">
        <v>0</v>
      </c>
      <c r="D25" s="32">
        <v>0</v>
      </c>
      <c r="E25" s="32"/>
      <c r="F25" s="32">
        <v>0</v>
      </c>
      <c r="G25" s="32">
        <v>0</v>
      </c>
      <c r="H25" s="32">
        <v>0</v>
      </c>
      <c r="I25" s="32">
        <v>0</v>
      </c>
      <c r="J25" s="32" t="s">
        <v>390</v>
      </c>
      <c r="K25" s="32" t="s">
        <v>391</v>
      </c>
    </row>
    <row r="26" spans="1:11">
      <c r="A26" s="32" t="s">
        <v>128</v>
      </c>
      <c r="B26" s="32">
        <v>8</v>
      </c>
      <c r="C26" s="32">
        <v>0</v>
      </c>
      <c r="D26" s="32">
        <v>1</v>
      </c>
      <c r="E26" s="32" t="s">
        <v>373</v>
      </c>
      <c r="F26" s="32">
        <v>40</v>
      </c>
      <c r="G26" s="32">
        <v>20</v>
      </c>
      <c r="H26" s="32">
        <v>4</v>
      </c>
      <c r="I26" s="32">
        <v>16</v>
      </c>
      <c r="J26" s="32" t="s">
        <v>399</v>
      </c>
      <c r="K26" s="32" t="s">
        <v>389</v>
      </c>
    </row>
    <row r="29" spans="1:11" hidden="1">
      <c r="A29" s="69" t="s">
        <v>400</v>
      </c>
    </row>
    <row r="30" spans="1:11" hidden="1">
      <c r="A30" t="s">
        <v>401</v>
      </c>
      <c r="B30">
        <v>25</v>
      </c>
    </row>
    <row r="31" spans="1:11" hidden="1">
      <c r="A31" t="s">
        <v>402</v>
      </c>
      <c r="B31">
        <v>13</v>
      </c>
    </row>
    <row r="32" spans="1:11" hidden="1">
      <c r="A32" t="s">
        <v>403</v>
      </c>
      <c r="B32">
        <v>488</v>
      </c>
    </row>
    <row r="33" spans="1:2" hidden="1">
      <c r="A33" t="s">
        <v>404</v>
      </c>
      <c r="B33">
        <v>188</v>
      </c>
    </row>
    <row r="34" spans="1:2" hidden="1">
      <c r="A34" t="s">
        <v>405</v>
      </c>
      <c r="B34">
        <v>52</v>
      </c>
    </row>
    <row r="35" spans="1:2" hidden="1">
      <c r="A35" t="s">
        <v>406</v>
      </c>
      <c r="B35">
        <v>248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3"/>
  <sheetViews>
    <sheetView showGridLines="0" workbookViewId="0">
      <pane ySplit="1" topLeftCell="A2" activePane="bottomLeft" state="frozen"/>
      <selection pane="bottomLeft" activeCell="E12" sqref="E12"/>
    </sheetView>
  </sheetViews>
  <sheetFormatPr defaultRowHeight="14.45"/>
  <cols>
    <col min="1" max="1" width="17.28515625" bestFit="1" customWidth="1"/>
    <col min="2" max="2" width="42.140625" bestFit="1" customWidth="1"/>
    <col min="3" max="3" width="12.42578125" customWidth="1"/>
    <col min="4" max="4" width="13.42578125" customWidth="1"/>
    <col min="5" max="5" width="11.85546875" customWidth="1"/>
    <col min="6" max="6" width="10.85546875" customWidth="1"/>
    <col min="7" max="7" width="10" customWidth="1"/>
    <col min="8" max="8" width="10.140625" customWidth="1"/>
    <col min="9" max="9" width="12.85546875" customWidth="1"/>
    <col min="10" max="10" width="15.28515625" bestFit="1" customWidth="1"/>
    <col min="11" max="11" width="9.42578125" bestFit="1" customWidth="1"/>
    <col min="12" max="12" width="44.42578125" bestFit="1" customWidth="1"/>
  </cols>
  <sheetData>
    <row r="1" spans="1:12" s="22" customFormat="1" ht="48" customHeight="1">
      <c r="A1" s="21" t="s">
        <v>20</v>
      </c>
      <c r="B1" s="21" t="s">
        <v>407</v>
      </c>
      <c r="C1" s="21" t="s">
        <v>408</v>
      </c>
      <c r="D1" s="21" t="s">
        <v>409</v>
      </c>
      <c r="E1" s="21" t="s">
        <v>410</v>
      </c>
      <c r="F1" s="21" t="s">
        <v>411</v>
      </c>
      <c r="G1" s="21" t="s">
        <v>412</v>
      </c>
      <c r="H1" s="21" t="s">
        <v>325</v>
      </c>
      <c r="I1" s="21" t="s">
        <v>413</v>
      </c>
      <c r="J1" s="21" t="s">
        <v>414</v>
      </c>
      <c r="K1" s="21" t="s">
        <v>415</v>
      </c>
      <c r="L1" s="21" t="s">
        <v>9</v>
      </c>
    </row>
    <row r="2" spans="1:12">
      <c r="A2" s="10">
        <v>46157</v>
      </c>
      <c r="B2" s="5" t="s">
        <v>416</v>
      </c>
      <c r="C2" s="5">
        <v>243</v>
      </c>
      <c r="D2" s="6">
        <f>IF(C2=0,"",E2/C2)</f>
        <v>0.16460905349794239</v>
      </c>
      <c r="E2" s="5">
        <v>40</v>
      </c>
      <c r="F2" s="11"/>
      <c r="G2" s="5">
        <f t="shared" ref="G2:G10" si="0">IF(F2="",0,F2*C2)</f>
        <v>0</v>
      </c>
      <c r="H2" s="5">
        <f>E2</f>
        <v>40</v>
      </c>
      <c r="I2" s="5">
        <f>G2</f>
        <v>0</v>
      </c>
      <c r="J2" s="6" t="str">
        <f t="shared" ref="J2:J10" si="1">IF(F2="","",F2-D2)</f>
        <v/>
      </c>
      <c r="K2" s="5" t="str">
        <f t="shared" ref="K2:K10" si="2">IF(J2="","",IF(J2&gt;0.02,"Ahead",IF(J2&lt;-0.02,"Behind","On Track")))</f>
        <v/>
      </c>
      <c r="L2" s="12" t="s">
        <v>417</v>
      </c>
    </row>
    <row r="3" spans="1:12">
      <c r="A3" s="10">
        <v>46164</v>
      </c>
      <c r="B3" s="5" t="s">
        <v>418</v>
      </c>
      <c r="C3" s="5">
        <v>243</v>
      </c>
      <c r="D3" s="6">
        <f t="shared" ref="D3:D10" si="3">IF(C3=0,"",E3/C3)</f>
        <v>0.17695473251028807</v>
      </c>
      <c r="E3" s="5">
        <v>43</v>
      </c>
      <c r="F3" s="11"/>
      <c r="G3" s="5">
        <f t="shared" si="0"/>
        <v>0</v>
      </c>
      <c r="H3" s="5">
        <f t="shared" ref="H3:H10" si="4">E3-E2</f>
        <v>3</v>
      </c>
      <c r="I3" s="5">
        <f t="shared" ref="I3:I10" si="5">G3-G2</f>
        <v>0</v>
      </c>
      <c r="J3" s="6" t="str">
        <f t="shared" si="1"/>
        <v/>
      </c>
      <c r="K3" s="5" t="str">
        <f t="shared" si="2"/>
        <v/>
      </c>
      <c r="L3" s="12" t="s">
        <v>417</v>
      </c>
    </row>
    <row r="4" spans="1:12">
      <c r="A4" s="10">
        <v>46171</v>
      </c>
      <c r="B4" s="5" t="s">
        <v>419</v>
      </c>
      <c r="C4" s="5">
        <v>243</v>
      </c>
      <c r="D4" s="6">
        <f t="shared" si="3"/>
        <v>0.17695473251028807</v>
      </c>
      <c r="E4" s="5">
        <v>43</v>
      </c>
      <c r="F4" s="11"/>
      <c r="G4" s="5">
        <f t="shared" si="0"/>
        <v>0</v>
      </c>
      <c r="H4" s="5">
        <f t="shared" si="4"/>
        <v>0</v>
      </c>
      <c r="I4" s="5">
        <f t="shared" si="5"/>
        <v>0</v>
      </c>
      <c r="J4" s="6" t="str">
        <f t="shared" si="1"/>
        <v/>
      </c>
      <c r="K4" s="5" t="str">
        <f t="shared" si="2"/>
        <v/>
      </c>
      <c r="L4" s="12" t="s">
        <v>417</v>
      </c>
    </row>
    <row r="5" spans="1:12">
      <c r="A5" s="10">
        <v>46178</v>
      </c>
      <c r="B5" s="5" t="s">
        <v>420</v>
      </c>
      <c r="C5" s="5">
        <v>243</v>
      </c>
      <c r="D5" s="6">
        <f t="shared" si="3"/>
        <v>0.17695473251028807</v>
      </c>
      <c r="E5" s="5">
        <v>43</v>
      </c>
      <c r="F5" s="11"/>
      <c r="G5" s="5">
        <f t="shared" si="0"/>
        <v>0</v>
      </c>
      <c r="H5" s="5">
        <f t="shared" si="4"/>
        <v>0</v>
      </c>
      <c r="I5" s="5">
        <f t="shared" si="5"/>
        <v>0</v>
      </c>
      <c r="J5" s="6" t="str">
        <f t="shared" si="1"/>
        <v/>
      </c>
      <c r="K5" s="5" t="str">
        <f t="shared" si="2"/>
        <v/>
      </c>
      <c r="L5" s="12" t="s">
        <v>417</v>
      </c>
    </row>
    <row r="6" spans="1:12">
      <c r="A6" s="10">
        <v>46185</v>
      </c>
      <c r="B6" s="5" t="s">
        <v>421</v>
      </c>
      <c r="C6" s="5">
        <v>245</v>
      </c>
      <c r="D6" s="6">
        <f t="shared" si="3"/>
        <v>0.18775510204081633</v>
      </c>
      <c r="E6" s="5">
        <v>46</v>
      </c>
      <c r="F6" s="11"/>
      <c r="G6" s="5">
        <f t="shared" si="0"/>
        <v>0</v>
      </c>
      <c r="H6" s="5">
        <f t="shared" si="4"/>
        <v>3</v>
      </c>
      <c r="I6" s="5">
        <f t="shared" si="5"/>
        <v>0</v>
      </c>
      <c r="J6" s="6" t="str">
        <f t="shared" si="1"/>
        <v/>
      </c>
      <c r="K6" s="5" t="str">
        <f t="shared" si="2"/>
        <v/>
      </c>
      <c r="L6" s="12" t="s">
        <v>417</v>
      </c>
    </row>
    <row r="7" spans="1:12">
      <c r="A7" s="10">
        <v>46192</v>
      </c>
      <c r="B7" s="5" t="s">
        <v>422</v>
      </c>
      <c r="C7" s="5">
        <f>SUM('Initiative List'!M:M)</f>
        <v>305</v>
      </c>
      <c r="D7" s="6">
        <f t="shared" si="3"/>
        <v>0.29770491803278698</v>
      </c>
      <c r="E7" s="5">
        <v>90.800000000000026</v>
      </c>
      <c r="F7" s="11"/>
      <c r="G7" s="5">
        <f t="shared" si="0"/>
        <v>0</v>
      </c>
      <c r="H7" s="5">
        <f t="shared" si="4"/>
        <v>44.800000000000026</v>
      </c>
      <c r="I7" s="5">
        <f t="shared" si="5"/>
        <v>0</v>
      </c>
      <c r="J7" s="6" t="str">
        <f t="shared" si="1"/>
        <v/>
      </c>
      <c r="K7" s="5" t="str">
        <f t="shared" si="2"/>
        <v/>
      </c>
      <c r="L7" s="12" t="s">
        <v>423</v>
      </c>
    </row>
    <row r="8" spans="1:12">
      <c r="A8" s="10">
        <v>46199</v>
      </c>
      <c r="B8" s="5" t="s">
        <v>422</v>
      </c>
      <c r="C8" s="5">
        <f>SUM('Initiative List'!M:M)</f>
        <v>305</v>
      </c>
      <c r="D8" s="6">
        <f t="shared" si="3"/>
        <v>0.43836065573770489</v>
      </c>
      <c r="E8" s="5">
        <v>133.69999999999999</v>
      </c>
      <c r="F8" s="11"/>
      <c r="G8" s="5">
        <f t="shared" si="0"/>
        <v>0</v>
      </c>
      <c r="H8" s="5">
        <f t="shared" si="4"/>
        <v>42.899999999999963</v>
      </c>
      <c r="I8" s="5">
        <f t="shared" si="5"/>
        <v>0</v>
      </c>
      <c r="J8" s="6" t="str">
        <f t="shared" si="1"/>
        <v/>
      </c>
      <c r="K8" s="5" t="str">
        <f t="shared" si="2"/>
        <v/>
      </c>
      <c r="L8" s="12" t="s">
        <v>423</v>
      </c>
    </row>
    <row r="9" spans="1:12" ht="28.9">
      <c r="A9" s="10">
        <v>46206</v>
      </c>
      <c r="B9" s="5" t="s">
        <v>422</v>
      </c>
      <c r="C9" s="5">
        <f>SUM('Initiative List'!M:M)</f>
        <v>305</v>
      </c>
      <c r="D9" s="6">
        <f t="shared" si="3"/>
        <v>0.43999999999999995</v>
      </c>
      <c r="E9" s="5">
        <v>134.19999999999999</v>
      </c>
      <c r="F9" s="11"/>
      <c r="G9" s="5">
        <f t="shared" si="0"/>
        <v>0</v>
      </c>
      <c r="H9" s="5">
        <f t="shared" si="4"/>
        <v>0.5</v>
      </c>
      <c r="I9" s="5">
        <f t="shared" si="5"/>
        <v>0</v>
      </c>
      <c r="J9" s="6" t="str">
        <f t="shared" si="1"/>
        <v/>
      </c>
      <c r="K9" s="5" t="str">
        <f t="shared" si="2"/>
        <v/>
      </c>
      <c r="L9" s="43" t="s">
        <v>424</v>
      </c>
    </row>
    <row r="10" spans="1:12">
      <c r="A10" s="10">
        <v>46213</v>
      </c>
      <c r="B10" s="5" t="s">
        <v>422</v>
      </c>
      <c r="C10" s="5">
        <f>SUM('Initiative List'!M:M)</f>
        <v>305</v>
      </c>
      <c r="D10" s="6">
        <f t="shared" si="3"/>
        <v>0.44344262295081965</v>
      </c>
      <c r="E10" s="5">
        <v>135.25</v>
      </c>
      <c r="F10" s="11"/>
      <c r="G10" s="5">
        <f t="shared" si="0"/>
        <v>0</v>
      </c>
      <c r="H10" s="5">
        <f t="shared" si="4"/>
        <v>1.0500000000000114</v>
      </c>
      <c r="I10" s="5">
        <f t="shared" si="5"/>
        <v>0</v>
      </c>
      <c r="J10" s="6" t="str">
        <f t="shared" si="1"/>
        <v/>
      </c>
      <c r="K10" s="5" t="str">
        <f t="shared" si="2"/>
        <v/>
      </c>
      <c r="L10" s="12" t="s">
        <v>423</v>
      </c>
    </row>
    <row r="11" spans="1:12">
      <c r="A11" s="10">
        <v>46220</v>
      </c>
      <c r="B11" s="5" t="s">
        <v>422</v>
      </c>
      <c r="C11" s="5">
        <f>SUM('Initiative List'!M:M)</f>
        <v>305</v>
      </c>
      <c r="D11" s="6">
        <f t="shared" ref="D11" si="6">IF(C11=0,"",E11/C11)</f>
        <v>0.44344262295081965</v>
      </c>
      <c r="E11" s="67">
        <v>135.25</v>
      </c>
      <c r="F11" s="11"/>
      <c r="G11" s="5">
        <f t="shared" ref="G11" si="7">IF(F11="",0,F11*C11)</f>
        <v>0</v>
      </c>
      <c r="H11" s="5">
        <f t="shared" ref="H11" si="8">E11-E10</f>
        <v>0</v>
      </c>
      <c r="I11" s="5">
        <f t="shared" ref="I11" si="9">G11-G10</f>
        <v>0</v>
      </c>
      <c r="J11" s="6" t="str">
        <f t="shared" ref="J11" si="10">IF(F11="","",F11-D11)</f>
        <v/>
      </c>
      <c r="K11" s="5" t="str">
        <f t="shared" ref="K11" si="11">IF(J11="","",IF(J11&gt;0.02,"Ahead",IF(J11&lt;-0.02,"Behind","On Track")))</f>
        <v/>
      </c>
      <c r="L11" s="12" t="s">
        <v>423</v>
      </c>
    </row>
    <row r="12" spans="1:12">
      <c r="A12" s="10">
        <v>46227</v>
      </c>
      <c r="B12" s="5" t="s">
        <v>422</v>
      </c>
      <c r="C12" s="5">
        <f>SUM('Initiative List'!M:M)</f>
        <v>305</v>
      </c>
      <c r="D12" s="6">
        <f t="shared" ref="D12" si="12">IF(C12=0,"",E12/C12)</f>
        <v>0.44344262295081965</v>
      </c>
      <c r="E12" s="67">
        <f>'Executive Dashboard'!G5</f>
        <v>135.25</v>
      </c>
      <c r="F12" s="11"/>
      <c r="G12" s="5">
        <f t="shared" ref="G12" si="13">IF(F12="",0,F12*C12)</f>
        <v>0</v>
      </c>
      <c r="H12" s="5">
        <f t="shared" ref="H12" si="14">E12-E11</f>
        <v>0</v>
      </c>
      <c r="I12" s="5">
        <f t="shared" ref="I12" si="15">G12-G11</f>
        <v>0</v>
      </c>
      <c r="J12" s="6" t="str">
        <f t="shared" ref="J12" si="16">IF(F12="","",F12-D12)</f>
        <v/>
      </c>
      <c r="K12" s="5" t="str">
        <f t="shared" ref="K12" si="17">IF(J12="","",IF(J12&gt;0.02,"Ahead",IF(J12&lt;-0.02,"Behind","On Track")))</f>
        <v/>
      </c>
      <c r="L12" s="12" t="s">
        <v>423</v>
      </c>
    </row>
    <row r="13" spans="1:12" ht="15">
      <c r="A13" s="10">
        <v>46234</v>
      </c>
      <c r="B13" s="5" t="s">
        <v>422</v>
      </c>
      <c r="C13" s="5">
        <f>SUM('Initiative List'!M:M)</f>
        <v>305</v>
      </c>
      <c r="D13" s="6">
        <f t="shared" ref="D13" si="18">IF(C13=0,"",E13/C13)</f>
        <v>0.44344262295081965</v>
      </c>
      <c r="E13" s="67">
        <f>'Executive Dashboard'!G5</f>
        <v>135.25</v>
      </c>
      <c r="F13" s="11"/>
      <c r="G13" s="5">
        <f t="shared" ref="G13" si="19">IF(F13="",0,F13*C13)</f>
        <v>0</v>
      </c>
      <c r="H13" s="5">
        <f t="shared" ref="H13" si="20">E13-E12</f>
        <v>0</v>
      </c>
      <c r="I13" s="5">
        <f t="shared" ref="I13" si="21">G13-G12</f>
        <v>0</v>
      </c>
      <c r="J13" s="6" t="str">
        <f t="shared" ref="J13" si="22">IF(F13="","",F13-D13)</f>
        <v/>
      </c>
      <c r="K13" s="5" t="str">
        <f t="shared" ref="K13" si="23">IF(J13="","",IF(J13&gt;0.02,"Ahead",IF(J13&lt;-0.02,"Behind","On Track")))</f>
        <v/>
      </c>
      <c r="L13" s="12" t="s">
        <v>423</v>
      </c>
    </row>
  </sheetData>
  <conditionalFormatting sqref="K2:K13">
    <cfRule type="expression" dxfId="3" priority="1">
      <formula>$K2="Behind"</formula>
    </cfRule>
    <cfRule type="expression" dxfId="2" priority="2">
      <formula>$K2="On Track"</formula>
    </cfRule>
    <cfRule type="expression" dxfId="1" priority="3">
      <formula>$K2="Ahead"</formula>
    </cfRule>
  </conditionalFormatting>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99"/>
  <sheetViews>
    <sheetView showGridLines="0" workbookViewId="0">
      <selection activeCell="E5" sqref="E5:E29"/>
    </sheetView>
  </sheetViews>
  <sheetFormatPr defaultRowHeight="14.45"/>
  <cols>
    <col min="1" max="1" width="34" customWidth="1"/>
    <col min="2" max="2" width="27.5703125" bestFit="1" customWidth="1"/>
    <col min="3" max="3" width="24.7109375" bestFit="1" customWidth="1"/>
    <col min="4" max="4" width="47.28515625" bestFit="1" customWidth="1"/>
    <col min="5" max="5" width="19" bestFit="1" customWidth="1"/>
    <col min="6" max="6" width="14.7109375" bestFit="1" customWidth="1"/>
    <col min="7" max="7" width="13.85546875" bestFit="1" customWidth="1"/>
    <col min="8" max="8" width="8.42578125" bestFit="1" customWidth="1"/>
    <col min="9" max="9" width="3" bestFit="1" customWidth="1"/>
  </cols>
  <sheetData>
    <row r="1" spans="1:8" ht="21">
      <c r="A1" s="17" t="s">
        <v>425</v>
      </c>
    </row>
    <row r="2" spans="1:8">
      <c r="A2" s="2" t="s">
        <v>426</v>
      </c>
    </row>
    <row r="4" spans="1:8">
      <c r="A4" s="3" t="s">
        <v>1</v>
      </c>
      <c r="B4" s="3" t="s">
        <v>2</v>
      </c>
      <c r="C4" s="3" t="s">
        <v>3</v>
      </c>
      <c r="D4" s="3" t="s">
        <v>4</v>
      </c>
      <c r="E4" s="3" t="s">
        <v>6</v>
      </c>
      <c r="F4" s="3" t="s">
        <v>7</v>
      </c>
      <c r="G4" s="3" t="s">
        <v>8</v>
      </c>
      <c r="H4" s="3" t="s">
        <v>10</v>
      </c>
    </row>
    <row r="5" spans="1:8">
      <c r="A5" s="7" t="s">
        <v>22</v>
      </c>
      <c r="B5" s="7" t="s">
        <v>23</v>
      </c>
      <c r="C5" s="7" t="s">
        <v>24</v>
      </c>
      <c r="D5" s="7" t="s">
        <v>25</v>
      </c>
      <c r="E5" s="7" t="s">
        <v>181</v>
      </c>
      <c r="F5" s="7" t="s">
        <v>28</v>
      </c>
      <c r="G5" s="7" t="s">
        <v>29</v>
      </c>
      <c r="H5" s="7" t="s">
        <v>31</v>
      </c>
    </row>
    <row r="6" spans="1:8">
      <c r="A6" s="7" t="s">
        <v>32</v>
      </c>
      <c r="B6" s="7" t="s">
        <v>33</v>
      </c>
      <c r="C6" s="7" t="s">
        <v>34</v>
      </c>
      <c r="D6" s="7" t="s">
        <v>35</v>
      </c>
      <c r="E6" s="7" t="s">
        <v>369</v>
      </c>
      <c r="F6" s="7" t="s">
        <v>77</v>
      </c>
      <c r="G6" s="7" t="s">
        <v>37</v>
      </c>
      <c r="H6" s="7" t="s">
        <v>47</v>
      </c>
    </row>
    <row r="7" spans="1:8">
      <c r="A7" s="7" t="s">
        <v>41</v>
      </c>
      <c r="B7" s="7" t="s">
        <v>42</v>
      </c>
      <c r="C7" s="7" t="s">
        <v>50</v>
      </c>
      <c r="D7" s="7" t="s">
        <v>41</v>
      </c>
      <c r="E7" s="7" t="s">
        <v>27</v>
      </c>
      <c r="F7" s="7" t="s">
        <v>82</v>
      </c>
      <c r="G7" s="7" t="s">
        <v>45</v>
      </c>
      <c r="H7" s="7" t="s">
        <v>55</v>
      </c>
    </row>
    <row r="8" spans="1:8">
      <c r="A8" s="7" t="s">
        <v>48</v>
      </c>
      <c r="B8" s="7" t="s">
        <v>49</v>
      </c>
      <c r="C8" s="7" t="s">
        <v>57</v>
      </c>
      <c r="D8" s="7" t="s">
        <v>51</v>
      </c>
      <c r="E8" s="7" t="s">
        <v>67</v>
      </c>
      <c r="F8" s="7" t="s">
        <v>105</v>
      </c>
      <c r="G8" s="7" t="s">
        <v>53</v>
      </c>
      <c r="H8" s="7" t="s">
        <v>61</v>
      </c>
    </row>
    <row r="9" spans="1:8">
      <c r="A9" s="7" t="s">
        <v>56</v>
      </c>
      <c r="B9" s="7" t="s">
        <v>111</v>
      </c>
      <c r="C9" s="7" t="s">
        <v>70</v>
      </c>
      <c r="D9" s="7" t="s">
        <v>58</v>
      </c>
      <c r="E9" s="7" t="s">
        <v>105</v>
      </c>
      <c r="F9" s="7" t="s">
        <v>137</v>
      </c>
      <c r="G9" s="7" t="s">
        <v>72</v>
      </c>
      <c r="H9" s="7" t="s">
        <v>427</v>
      </c>
    </row>
    <row r="10" spans="1:8">
      <c r="A10" s="7" t="s">
        <v>73</v>
      </c>
      <c r="C10" s="7" t="s">
        <v>96</v>
      </c>
      <c r="D10" s="7" t="s">
        <v>62</v>
      </c>
      <c r="E10" s="7" t="s">
        <v>28</v>
      </c>
      <c r="F10" s="7" t="s">
        <v>196</v>
      </c>
      <c r="G10" s="7" t="s">
        <v>91</v>
      </c>
    </row>
    <row r="11" spans="1:8">
      <c r="A11" s="7" t="s">
        <v>79</v>
      </c>
      <c r="C11" s="7" t="s">
        <v>102</v>
      </c>
      <c r="D11" s="7" t="s">
        <v>65</v>
      </c>
      <c r="E11" s="7" t="s">
        <v>82</v>
      </c>
      <c r="G11" s="7" t="s">
        <v>228</v>
      </c>
    </row>
    <row r="12" spans="1:8">
      <c r="A12" s="7" t="s">
        <v>85</v>
      </c>
      <c r="C12" s="7" t="s">
        <v>125</v>
      </c>
      <c r="D12" s="7" t="s">
        <v>74</v>
      </c>
      <c r="E12" s="7" t="s">
        <v>150</v>
      </c>
      <c r="G12" s="7" t="s">
        <v>147</v>
      </c>
    </row>
    <row r="13" spans="1:8">
      <c r="A13" s="7" t="s">
        <v>107</v>
      </c>
      <c r="C13" s="7" t="s">
        <v>149</v>
      </c>
      <c r="D13" s="7" t="s">
        <v>80</v>
      </c>
      <c r="E13" s="7" t="s">
        <v>94</v>
      </c>
      <c r="G13" s="7" t="s">
        <v>234</v>
      </c>
    </row>
    <row r="14" spans="1:8">
      <c r="A14" s="7" t="s">
        <v>110</v>
      </c>
      <c r="C14" s="7" t="s">
        <v>152</v>
      </c>
      <c r="D14" s="7" t="s">
        <v>86</v>
      </c>
      <c r="E14" s="7" t="s">
        <v>142</v>
      </c>
      <c r="G14" s="7" t="s">
        <v>259</v>
      </c>
    </row>
    <row r="15" spans="1:8">
      <c r="A15" s="7" t="s">
        <v>115</v>
      </c>
      <c r="C15" s="7" t="s">
        <v>153</v>
      </c>
      <c r="D15" s="7" t="s">
        <v>97</v>
      </c>
      <c r="E15" s="7" t="s">
        <v>57</v>
      </c>
      <c r="G15" s="7" t="s">
        <v>100</v>
      </c>
    </row>
    <row r="16" spans="1:8">
      <c r="A16" s="7" t="s">
        <v>132</v>
      </c>
      <c r="C16" s="7" t="s">
        <v>154</v>
      </c>
      <c r="D16" s="7" t="s">
        <v>103</v>
      </c>
      <c r="E16" s="7" t="s">
        <v>166</v>
      </c>
      <c r="G16" s="7" t="s">
        <v>428</v>
      </c>
    </row>
    <row r="17" spans="1:5">
      <c r="A17" s="7" t="s">
        <v>194</v>
      </c>
      <c r="C17" s="7" t="s">
        <v>127</v>
      </c>
      <c r="D17" s="7" t="s">
        <v>112</v>
      </c>
      <c r="E17" s="7" t="s">
        <v>44</v>
      </c>
    </row>
    <row r="18" spans="1:5">
      <c r="A18" s="7" t="s">
        <v>221</v>
      </c>
      <c r="C18" s="7" t="s">
        <v>130</v>
      </c>
      <c r="D18" s="7" t="s">
        <v>118</v>
      </c>
      <c r="E18" s="7" t="s">
        <v>76</v>
      </c>
    </row>
    <row r="19" spans="1:5">
      <c r="A19" s="7" t="s">
        <v>230</v>
      </c>
      <c r="C19" s="7" t="s">
        <v>156</v>
      </c>
      <c r="D19" s="7" t="s">
        <v>160</v>
      </c>
      <c r="E19" s="7" t="s">
        <v>223</v>
      </c>
    </row>
    <row r="20" spans="1:5">
      <c r="A20" s="7" t="s">
        <v>237</v>
      </c>
      <c r="C20" s="7" t="s">
        <v>157</v>
      </c>
      <c r="D20" s="7" t="s">
        <v>164</v>
      </c>
      <c r="E20" s="7" t="s">
        <v>120</v>
      </c>
    </row>
    <row r="21" spans="1:5">
      <c r="A21" s="7" t="s">
        <v>254</v>
      </c>
      <c r="C21" s="7" t="s">
        <v>132</v>
      </c>
      <c r="D21" s="7" t="s">
        <v>168</v>
      </c>
      <c r="E21" s="7" t="s">
        <v>50</v>
      </c>
    </row>
    <row r="22" spans="1:5">
      <c r="A22" s="7" t="s">
        <v>260</v>
      </c>
      <c r="C22" s="7" t="s">
        <v>122</v>
      </c>
      <c r="D22" s="7" t="s">
        <v>171</v>
      </c>
      <c r="E22" s="7" t="s">
        <v>137</v>
      </c>
    </row>
    <row r="23" spans="1:5">
      <c r="A23" s="7" t="s">
        <v>263</v>
      </c>
      <c r="C23" s="7" t="s">
        <v>144</v>
      </c>
      <c r="D23" s="7" t="s">
        <v>174</v>
      </c>
      <c r="E23" s="7" t="s">
        <v>196</v>
      </c>
    </row>
    <row r="24" spans="1:5">
      <c r="A24" s="7" t="s">
        <v>267</v>
      </c>
      <c r="C24" s="7" t="s">
        <v>183</v>
      </c>
      <c r="D24" s="7" t="s">
        <v>179</v>
      </c>
      <c r="E24" s="7" t="s">
        <v>77</v>
      </c>
    </row>
    <row r="25" spans="1:5">
      <c r="A25" s="7" t="s">
        <v>273</v>
      </c>
      <c r="C25" s="7" t="s">
        <v>189</v>
      </c>
      <c r="D25" s="7" t="s">
        <v>245</v>
      </c>
      <c r="E25" s="7" t="s">
        <v>126</v>
      </c>
    </row>
    <row r="26" spans="1:5">
      <c r="A26" s="7" t="s">
        <v>289</v>
      </c>
      <c r="C26" s="7" t="s">
        <v>131</v>
      </c>
      <c r="D26" s="7" t="s">
        <v>255</v>
      </c>
      <c r="E26" s="7" t="s">
        <v>372</v>
      </c>
    </row>
    <row r="27" spans="1:5">
      <c r="A27" s="7" t="s">
        <v>429</v>
      </c>
      <c r="C27" s="7" t="s">
        <v>202</v>
      </c>
      <c r="D27" s="7" t="s">
        <v>261</v>
      </c>
      <c r="E27" s="7" t="s">
        <v>128</v>
      </c>
    </row>
    <row r="28" spans="1:5">
      <c r="A28" s="7" t="s">
        <v>430</v>
      </c>
      <c r="C28" s="7" t="s">
        <v>94</v>
      </c>
      <c r="D28" s="7" t="s">
        <v>264</v>
      </c>
      <c r="E28" s="7" t="s">
        <v>99</v>
      </c>
    </row>
    <row r="29" spans="1:5">
      <c r="A29" s="7" t="s">
        <v>431</v>
      </c>
      <c r="C29" s="7" t="s">
        <v>268</v>
      </c>
      <c r="D29" s="7" t="s">
        <v>269</v>
      </c>
      <c r="E29" s="7" t="s">
        <v>88</v>
      </c>
    </row>
    <row r="30" spans="1:5">
      <c r="C30" s="7" t="s">
        <v>432</v>
      </c>
      <c r="D30" s="7" t="s">
        <v>433</v>
      </c>
    </row>
    <row r="31" spans="1:5">
      <c r="C31" s="7" t="s">
        <v>434</v>
      </c>
      <c r="D31" s="7" t="s">
        <v>435</v>
      </c>
    </row>
    <row r="32" spans="1:5">
      <c r="C32" s="7" t="s">
        <v>436</v>
      </c>
      <c r="D32" s="7" t="s">
        <v>437</v>
      </c>
    </row>
    <row r="33" spans="3:4">
      <c r="C33" s="7" t="s">
        <v>438</v>
      </c>
      <c r="D33" s="7" t="s">
        <v>439</v>
      </c>
    </row>
    <row r="34" spans="3:4">
      <c r="C34" s="7" t="s">
        <v>440</v>
      </c>
      <c r="D34" s="7" t="s">
        <v>441</v>
      </c>
    </row>
    <row r="35" spans="3:4">
      <c r="C35" s="7" t="s">
        <v>442</v>
      </c>
      <c r="D35" s="7" t="s">
        <v>443</v>
      </c>
    </row>
    <row r="36" spans="3:4">
      <c r="C36" s="7" t="s">
        <v>444</v>
      </c>
      <c r="D36" s="7" t="s">
        <v>445</v>
      </c>
    </row>
    <row r="37" spans="3:4">
      <c r="C37" s="7" t="s">
        <v>123</v>
      </c>
      <c r="D37" s="7" t="s">
        <v>446</v>
      </c>
    </row>
    <row r="38" spans="3:4">
      <c r="D38" s="7" t="s">
        <v>447</v>
      </c>
    </row>
    <row r="39" spans="3:4">
      <c r="D39" s="7" t="s">
        <v>448</v>
      </c>
    </row>
    <row r="40" spans="3:4">
      <c r="D40" s="7" t="s">
        <v>449</v>
      </c>
    </row>
    <row r="41" spans="3:4">
      <c r="D41" s="7" t="s">
        <v>450</v>
      </c>
    </row>
    <row r="42" spans="3:4">
      <c r="D42" s="7" t="s">
        <v>451</v>
      </c>
    </row>
    <row r="43" spans="3:4">
      <c r="D43" s="7" t="s">
        <v>452</v>
      </c>
    </row>
    <row r="44" spans="3:4">
      <c r="D44" s="7" t="s">
        <v>453</v>
      </c>
    </row>
    <row r="45" spans="3:4">
      <c r="D45" s="7" t="s">
        <v>454</v>
      </c>
    </row>
    <row r="49" spans="1:15" ht="18">
      <c r="A49" s="18" t="s">
        <v>455</v>
      </c>
    </row>
    <row r="50" spans="1:15">
      <c r="A50" s="19" t="s">
        <v>254</v>
      </c>
      <c r="B50" s="19" t="s">
        <v>23</v>
      </c>
      <c r="C50" s="19" t="s">
        <v>268</v>
      </c>
      <c r="D50" s="19" t="s">
        <v>103</v>
      </c>
      <c r="E50" s="19" t="s">
        <v>181</v>
      </c>
      <c r="F50" s="19" t="s">
        <v>28</v>
      </c>
      <c r="G50" s="19" t="s">
        <v>29</v>
      </c>
      <c r="H50" s="19" t="s">
        <v>47</v>
      </c>
      <c r="I50" s="19">
        <v>2</v>
      </c>
      <c r="J50" s="19"/>
      <c r="K50" s="19"/>
      <c r="L50" s="19"/>
      <c r="M50" s="19"/>
      <c r="N50" s="19"/>
      <c r="O50" s="19"/>
    </row>
    <row r="51" spans="1:15">
      <c r="A51" s="13" t="s">
        <v>260</v>
      </c>
      <c r="B51" s="13" t="s">
        <v>49</v>
      </c>
      <c r="C51" s="13" t="s">
        <v>432</v>
      </c>
      <c r="D51" s="13" t="s">
        <v>255</v>
      </c>
      <c r="E51" s="13" t="s">
        <v>369</v>
      </c>
      <c r="F51" s="13" t="s">
        <v>82</v>
      </c>
      <c r="G51" s="13" t="s">
        <v>147</v>
      </c>
      <c r="H51" s="13" t="s">
        <v>31</v>
      </c>
      <c r="I51" s="13">
        <v>3</v>
      </c>
      <c r="J51" s="13"/>
      <c r="K51" s="13"/>
      <c r="L51" s="13"/>
      <c r="M51" s="13"/>
      <c r="N51" s="13"/>
      <c r="O51" s="13"/>
    </row>
    <row r="52" spans="1:15">
      <c r="A52" s="13" t="s">
        <v>22</v>
      </c>
      <c r="B52" s="13" t="s">
        <v>111</v>
      </c>
      <c r="C52" s="13" t="s">
        <v>434</v>
      </c>
      <c r="D52" s="13" t="s">
        <v>74</v>
      </c>
      <c r="E52" s="13" t="s">
        <v>27</v>
      </c>
      <c r="F52" s="13" t="s">
        <v>105</v>
      </c>
      <c r="G52" s="13" t="s">
        <v>91</v>
      </c>
      <c r="H52" s="13" t="s">
        <v>55</v>
      </c>
      <c r="I52" s="13">
        <v>4</v>
      </c>
      <c r="J52" s="13"/>
      <c r="K52" s="13"/>
      <c r="L52" s="13"/>
      <c r="M52" s="13"/>
      <c r="N52" s="13"/>
      <c r="O52" s="13"/>
    </row>
    <row r="53" spans="1:15">
      <c r="A53" s="13" t="s">
        <v>79</v>
      </c>
      <c r="B53" s="13" t="s">
        <v>42</v>
      </c>
      <c r="C53" s="13" t="s">
        <v>122</v>
      </c>
      <c r="D53" s="13" t="s">
        <v>179</v>
      </c>
      <c r="E53" s="13" t="s">
        <v>67</v>
      </c>
      <c r="F53" s="13" t="s">
        <v>196</v>
      </c>
      <c r="G53" s="13" t="s">
        <v>228</v>
      </c>
      <c r="H53" s="13" t="s">
        <v>61</v>
      </c>
      <c r="I53" s="13">
        <v>5</v>
      </c>
      <c r="J53" s="13"/>
      <c r="K53" s="13"/>
      <c r="L53" s="13"/>
      <c r="M53" s="13"/>
      <c r="N53" s="13"/>
      <c r="O53" s="13"/>
    </row>
    <row r="54" spans="1:15">
      <c r="A54" s="13" t="s">
        <v>110</v>
      </c>
      <c r="B54" s="13" t="s">
        <v>33</v>
      </c>
      <c r="C54" s="13" t="s">
        <v>436</v>
      </c>
      <c r="D54" s="13" t="s">
        <v>261</v>
      </c>
      <c r="E54" s="13" t="s">
        <v>105</v>
      </c>
      <c r="F54" s="13" t="s">
        <v>77</v>
      </c>
      <c r="G54" s="13" t="s">
        <v>259</v>
      </c>
      <c r="H54" s="13" t="s">
        <v>427</v>
      </c>
      <c r="I54" s="13">
        <v>6</v>
      </c>
      <c r="J54" s="13"/>
      <c r="K54" s="13"/>
      <c r="L54" s="13"/>
      <c r="M54" s="13"/>
      <c r="N54" s="13"/>
      <c r="O54" s="13"/>
    </row>
    <row r="55" spans="1:15">
      <c r="A55" s="13" t="s">
        <v>32</v>
      </c>
      <c r="B55" s="13"/>
      <c r="C55" s="13" t="s">
        <v>438</v>
      </c>
      <c r="D55" s="13" t="s">
        <v>97</v>
      </c>
      <c r="E55" s="13" t="s">
        <v>28</v>
      </c>
      <c r="F55" s="13"/>
      <c r="G55" s="13" t="s">
        <v>100</v>
      </c>
      <c r="H55" s="13"/>
      <c r="I55" s="13">
        <v>7</v>
      </c>
      <c r="J55" s="13"/>
      <c r="K55" s="13"/>
      <c r="L55" s="13"/>
      <c r="M55" s="13"/>
      <c r="N55" s="13"/>
      <c r="O55" s="13"/>
    </row>
    <row r="56" spans="1:15">
      <c r="A56" s="13" t="s">
        <v>73</v>
      </c>
      <c r="B56" s="13"/>
      <c r="C56" s="13" t="s">
        <v>440</v>
      </c>
      <c r="D56" s="13" t="s">
        <v>433</v>
      </c>
      <c r="E56" s="13" t="s">
        <v>82</v>
      </c>
      <c r="F56" s="13"/>
      <c r="G56" s="13" t="s">
        <v>45</v>
      </c>
      <c r="H56" s="13"/>
      <c r="I56" s="13">
        <v>8</v>
      </c>
      <c r="J56" s="13"/>
      <c r="K56" s="13"/>
      <c r="L56" s="13"/>
      <c r="M56" s="13"/>
      <c r="N56" s="13"/>
      <c r="O56" s="13"/>
    </row>
    <row r="57" spans="1:15">
      <c r="A57" s="13" t="s">
        <v>41</v>
      </c>
      <c r="B57" s="13"/>
      <c r="C57" s="13" t="s">
        <v>442</v>
      </c>
      <c r="D57" s="13" t="s">
        <v>435</v>
      </c>
      <c r="E57" s="13" t="s">
        <v>150</v>
      </c>
      <c r="F57" s="13"/>
      <c r="G57" s="13" t="s">
        <v>37</v>
      </c>
      <c r="H57" s="13"/>
      <c r="I57" s="13">
        <v>9</v>
      </c>
      <c r="J57" s="13"/>
      <c r="K57" s="13"/>
      <c r="L57" s="13"/>
      <c r="M57" s="13"/>
      <c r="N57" s="13"/>
      <c r="O57" s="13"/>
    </row>
    <row r="58" spans="1:15">
      <c r="A58" s="13" t="s">
        <v>48</v>
      </c>
      <c r="B58" s="13"/>
      <c r="C58" s="13" t="s">
        <v>444</v>
      </c>
      <c r="D58" s="13" t="s">
        <v>25</v>
      </c>
      <c r="E58" s="13" t="s">
        <v>94</v>
      </c>
      <c r="F58" s="13"/>
      <c r="G58" s="13" t="s">
        <v>53</v>
      </c>
      <c r="H58" s="13"/>
      <c r="I58" s="13">
        <v>10</v>
      </c>
      <c r="J58" s="13"/>
      <c r="K58" s="13"/>
      <c r="L58" s="13"/>
      <c r="M58" s="13"/>
      <c r="N58" s="13"/>
      <c r="O58" s="13"/>
    </row>
    <row r="59" spans="1:15">
      <c r="A59" s="13" t="s">
        <v>107</v>
      </c>
      <c r="B59" s="13"/>
      <c r="C59" s="13" t="s">
        <v>149</v>
      </c>
      <c r="D59" s="13" t="s">
        <v>112</v>
      </c>
      <c r="E59" s="13" t="s">
        <v>142</v>
      </c>
      <c r="F59" s="13"/>
      <c r="G59" s="13" t="s">
        <v>72</v>
      </c>
      <c r="H59" s="13"/>
      <c r="I59" s="13">
        <v>11</v>
      </c>
      <c r="J59" s="13"/>
      <c r="K59" s="13"/>
      <c r="L59" s="13"/>
      <c r="M59" s="13"/>
      <c r="N59" s="13"/>
      <c r="O59" s="13"/>
    </row>
    <row r="60" spans="1:15">
      <c r="A60" s="13" t="s">
        <v>273</v>
      </c>
      <c r="B60" s="13"/>
      <c r="C60" s="13"/>
      <c r="D60" s="13"/>
      <c r="E60" s="13" t="s">
        <v>223</v>
      </c>
      <c r="F60" s="13"/>
      <c r="G60" s="13" t="s">
        <v>234</v>
      </c>
      <c r="H60" s="13"/>
      <c r="I60" s="13"/>
      <c r="J60" s="13"/>
      <c r="K60" s="13"/>
      <c r="L60" s="13"/>
      <c r="M60" s="13"/>
      <c r="N60" s="13"/>
      <c r="O60" s="13"/>
    </row>
    <row r="61" spans="1:15">
      <c r="A61" s="13" t="s">
        <v>263</v>
      </c>
      <c r="B61" s="13"/>
      <c r="C61" s="13" t="s">
        <v>131</v>
      </c>
      <c r="D61" s="13" t="s">
        <v>437</v>
      </c>
      <c r="E61" s="13" t="s">
        <v>57</v>
      </c>
      <c r="F61" s="13"/>
      <c r="G61" s="13" t="s">
        <v>428</v>
      </c>
      <c r="H61" s="13"/>
      <c r="I61" s="13">
        <v>12</v>
      </c>
      <c r="J61" s="13"/>
      <c r="K61" s="13"/>
      <c r="L61" s="13"/>
      <c r="M61" s="13"/>
      <c r="N61" s="13"/>
      <c r="O61" s="13"/>
    </row>
    <row r="62" spans="1:15">
      <c r="A62" s="13" t="s">
        <v>56</v>
      </c>
      <c r="B62" s="13"/>
      <c r="C62" s="13" t="s">
        <v>153</v>
      </c>
      <c r="D62" s="13" t="s">
        <v>439</v>
      </c>
      <c r="E62" s="13" t="s">
        <v>166</v>
      </c>
      <c r="F62" s="13"/>
      <c r="G62" s="13"/>
      <c r="H62" s="13"/>
      <c r="I62" s="13">
        <v>13</v>
      </c>
      <c r="J62" s="13"/>
      <c r="K62" s="13"/>
      <c r="L62" s="13"/>
      <c r="M62" s="13"/>
      <c r="N62" s="13"/>
      <c r="O62" s="13"/>
    </row>
    <row r="63" spans="1:15">
      <c r="A63" s="13" t="s">
        <v>289</v>
      </c>
      <c r="B63" s="13"/>
      <c r="C63" s="13" t="s">
        <v>152</v>
      </c>
      <c r="D63" s="13" t="s">
        <v>65</v>
      </c>
      <c r="E63" s="13" t="s">
        <v>44</v>
      </c>
      <c r="F63" s="13"/>
      <c r="G63" s="13"/>
      <c r="H63" s="13"/>
      <c r="I63" s="13">
        <v>14</v>
      </c>
      <c r="J63" s="13"/>
      <c r="K63" s="13"/>
      <c r="L63" s="13"/>
      <c r="M63" s="13"/>
      <c r="N63" s="13"/>
      <c r="O63" s="13"/>
    </row>
    <row r="64" spans="1:15">
      <c r="A64" s="13" t="s">
        <v>429</v>
      </c>
      <c r="B64" s="13"/>
      <c r="C64" s="13" t="s">
        <v>94</v>
      </c>
      <c r="D64" s="13" t="s">
        <v>41</v>
      </c>
      <c r="E64" s="13" t="s">
        <v>76</v>
      </c>
      <c r="F64" s="13"/>
      <c r="G64" s="13"/>
      <c r="H64" s="13"/>
      <c r="I64" s="13">
        <v>15</v>
      </c>
      <c r="J64" s="13"/>
      <c r="K64" s="13"/>
      <c r="L64" s="13"/>
      <c r="M64" s="13"/>
      <c r="N64" s="13"/>
      <c r="O64" s="13"/>
    </row>
    <row r="65" spans="1:15">
      <c r="A65" s="13" t="s">
        <v>430</v>
      </c>
      <c r="B65" s="13"/>
      <c r="C65" s="13" t="s">
        <v>70</v>
      </c>
      <c r="D65" s="13" t="s">
        <v>171</v>
      </c>
      <c r="E65" s="13" t="s">
        <v>120</v>
      </c>
      <c r="F65" s="13"/>
      <c r="G65" s="13"/>
      <c r="H65" s="13"/>
      <c r="I65" s="13">
        <v>16</v>
      </c>
      <c r="J65" s="13"/>
      <c r="K65" s="13"/>
      <c r="L65" s="13"/>
      <c r="M65" s="13"/>
      <c r="N65" s="13"/>
      <c r="O65" s="13"/>
    </row>
    <row r="66" spans="1:15">
      <c r="A66" s="13" t="s">
        <v>267</v>
      </c>
      <c r="B66" s="13"/>
      <c r="C66" s="13" t="s">
        <v>34</v>
      </c>
      <c r="D66" s="13" t="s">
        <v>86</v>
      </c>
      <c r="E66" s="13" t="s">
        <v>50</v>
      </c>
      <c r="F66" s="13"/>
      <c r="G66" s="13"/>
      <c r="H66" s="13"/>
      <c r="I66" s="13">
        <v>17</v>
      </c>
      <c r="J66" s="13"/>
      <c r="K66" s="13"/>
      <c r="L66" s="13"/>
      <c r="M66" s="13"/>
      <c r="N66" s="13"/>
      <c r="O66" s="13"/>
    </row>
    <row r="67" spans="1:15">
      <c r="A67" s="13" t="s">
        <v>230</v>
      </c>
      <c r="B67" s="13"/>
      <c r="C67" s="13" t="s">
        <v>154</v>
      </c>
      <c r="D67" s="13" t="s">
        <v>441</v>
      </c>
      <c r="E67" s="13" t="s">
        <v>137</v>
      </c>
      <c r="F67" s="13"/>
      <c r="G67" s="13"/>
      <c r="H67" s="13"/>
      <c r="I67" s="13">
        <v>18</v>
      </c>
      <c r="J67" s="13"/>
      <c r="K67" s="13"/>
      <c r="L67" s="13"/>
      <c r="M67" s="13"/>
      <c r="N67" s="13"/>
      <c r="O67" s="13"/>
    </row>
    <row r="68" spans="1:15">
      <c r="A68" s="13" t="s">
        <v>115</v>
      </c>
      <c r="B68" s="13"/>
      <c r="C68" s="13" t="s">
        <v>57</v>
      </c>
      <c r="D68" s="13" t="s">
        <v>443</v>
      </c>
      <c r="E68" s="13" t="s">
        <v>196</v>
      </c>
      <c r="F68" s="13"/>
      <c r="G68" s="13"/>
      <c r="H68" s="13"/>
      <c r="I68" s="13">
        <v>19</v>
      </c>
      <c r="J68" s="13"/>
      <c r="K68" s="13"/>
      <c r="L68" s="13"/>
      <c r="M68" s="13"/>
      <c r="N68" s="13"/>
      <c r="O68" s="13"/>
    </row>
    <row r="69" spans="1:15">
      <c r="A69" s="13" t="s">
        <v>85</v>
      </c>
      <c r="B69" s="13"/>
      <c r="C69" s="13" t="s">
        <v>144</v>
      </c>
      <c r="D69" s="13" t="s">
        <v>51</v>
      </c>
      <c r="E69" s="13" t="s">
        <v>77</v>
      </c>
      <c r="F69" s="13"/>
      <c r="G69" s="13"/>
      <c r="H69" s="13"/>
      <c r="I69" s="13">
        <v>20</v>
      </c>
      <c r="J69" s="13"/>
      <c r="K69" s="13"/>
      <c r="L69" s="13"/>
      <c r="M69" s="13"/>
      <c r="N69" s="13"/>
      <c r="O69" s="13"/>
    </row>
    <row r="70" spans="1:15">
      <c r="A70" s="13" t="s">
        <v>431</v>
      </c>
      <c r="B70" s="13"/>
      <c r="C70" s="13" t="s">
        <v>24</v>
      </c>
      <c r="D70" s="13" t="s">
        <v>80</v>
      </c>
      <c r="E70" s="13" t="s">
        <v>126</v>
      </c>
      <c r="F70" s="13"/>
      <c r="G70" s="13"/>
      <c r="H70" s="13"/>
      <c r="I70" s="13">
        <v>21</v>
      </c>
      <c r="J70" s="13"/>
      <c r="K70" s="13"/>
      <c r="L70" s="13"/>
      <c r="M70" s="13"/>
      <c r="N70" s="13"/>
      <c r="O70" s="13"/>
    </row>
    <row r="71" spans="1:15">
      <c r="A71" s="13" t="s">
        <v>194</v>
      </c>
      <c r="B71" s="13"/>
      <c r="C71" s="13" t="s">
        <v>102</v>
      </c>
      <c r="D71" s="13" t="s">
        <v>118</v>
      </c>
      <c r="E71" s="13" t="s">
        <v>372</v>
      </c>
      <c r="F71" s="13"/>
      <c r="G71" s="13"/>
      <c r="H71" s="13"/>
      <c r="I71" s="13">
        <v>22</v>
      </c>
      <c r="J71" s="13"/>
      <c r="K71" s="13"/>
      <c r="L71" s="13"/>
      <c r="M71" s="13"/>
      <c r="N71" s="13"/>
      <c r="O71" s="13"/>
    </row>
    <row r="72" spans="1:15">
      <c r="A72" s="13" t="s">
        <v>132</v>
      </c>
      <c r="B72" s="13"/>
      <c r="C72" s="13" t="s">
        <v>127</v>
      </c>
      <c r="D72" s="13" t="s">
        <v>164</v>
      </c>
      <c r="E72" s="13" t="s">
        <v>128</v>
      </c>
      <c r="F72" s="13"/>
      <c r="G72" s="13"/>
      <c r="H72" s="13"/>
      <c r="I72" s="13">
        <v>23</v>
      </c>
      <c r="J72" s="13"/>
      <c r="K72" s="13"/>
      <c r="L72" s="13"/>
      <c r="M72" s="13"/>
      <c r="N72" s="13"/>
      <c r="O72" s="13"/>
    </row>
    <row r="73" spans="1:15">
      <c r="A73" s="13" t="s">
        <v>221</v>
      </c>
      <c r="B73" s="13"/>
      <c r="C73" s="13" t="s">
        <v>125</v>
      </c>
      <c r="D73" s="13" t="s">
        <v>174</v>
      </c>
      <c r="E73" s="13" t="s">
        <v>99</v>
      </c>
      <c r="F73" s="13"/>
      <c r="G73" s="13"/>
      <c r="H73" s="13"/>
      <c r="I73" s="13">
        <v>24</v>
      </c>
      <c r="J73" s="13"/>
      <c r="K73" s="13"/>
      <c r="L73" s="13"/>
      <c r="M73" s="13"/>
      <c r="N73" s="13"/>
      <c r="O73" s="13"/>
    </row>
    <row r="74" spans="1:15">
      <c r="A74" s="13"/>
      <c r="B74" s="13"/>
      <c r="C74" s="13" t="s">
        <v>130</v>
      </c>
      <c r="D74" s="13" t="s">
        <v>168</v>
      </c>
      <c r="E74" s="13" t="s">
        <v>88</v>
      </c>
      <c r="F74" s="13"/>
      <c r="G74" s="13"/>
      <c r="H74" s="13"/>
      <c r="I74" s="13">
        <v>25</v>
      </c>
      <c r="J74" s="13"/>
      <c r="K74" s="13"/>
      <c r="L74" s="13"/>
      <c r="M74" s="13"/>
      <c r="N74" s="13"/>
      <c r="O74" s="13"/>
    </row>
    <row r="75" spans="1:15">
      <c r="A75" s="13"/>
      <c r="B75" s="13"/>
      <c r="C75" s="13" t="s">
        <v>50</v>
      </c>
      <c r="D75" s="13" t="s">
        <v>445</v>
      </c>
      <c r="E75" s="13"/>
      <c r="F75" s="13"/>
      <c r="G75" s="13"/>
      <c r="H75" s="13"/>
      <c r="I75" s="13">
        <v>26</v>
      </c>
      <c r="J75" s="13"/>
      <c r="K75" s="13"/>
      <c r="L75" s="13"/>
      <c r="M75" s="13"/>
      <c r="N75" s="13"/>
      <c r="O75" s="13"/>
    </row>
    <row r="76" spans="1:15">
      <c r="A76" s="13"/>
      <c r="B76" s="13"/>
      <c r="C76" s="13" t="s">
        <v>156</v>
      </c>
      <c r="D76" s="13" t="s">
        <v>62</v>
      </c>
      <c r="E76" s="13"/>
      <c r="F76" s="13"/>
      <c r="G76" s="13"/>
      <c r="H76" s="13"/>
      <c r="I76" s="13">
        <v>27</v>
      </c>
      <c r="J76" s="13"/>
      <c r="K76" s="13"/>
      <c r="L76" s="13"/>
      <c r="M76" s="13"/>
      <c r="N76" s="13"/>
      <c r="O76" s="13"/>
    </row>
    <row r="77" spans="1:15">
      <c r="A77" s="13"/>
      <c r="B77" s="13"/>
      <c r="C77" s="13" t="s">
        <v>157</v>
      </c>
      <c r="D77" s="13" t="s">
        <v>446</v>
      </c>
      <c r="E77" s="13"/>
      <c r="F77" s="13"/>
      <c r="G77" s="13"/>
      <c r="H77" s="13"/>
      <c r="I77" s="13">
        <v>28</v>
      </c>
      <c r="J77" s="13"/>
      <c r="K77" s="13"/>
      <c r="L77" s="13"/>
      <c r="M77" s="13"/>
      <c r="N77" s="13"/>
      <c r="O77" s="13"/>
    </row>
    <row r="78" spans="1:15">
      <c r="A78" s="13"/>
      <c r="B78" s="13"/>
      <c r="C78" s="13" t="s">
        <v>132</v>
      </c>
      <c r="D78" s="13" t="s">
        <v>447</v>
      </c>
      <c r="E78" s="13"/>
      <c r="F78" s="13"/>
      <c r="G78" s="13"/>
      <c r="H78" s="13"/>
      <c r="I78" s="13">
        <v>29</v>
      </c>
      <c r="J78" s="13"/>
      <c r="K78" s="13"/>
      <c r="L78" s="13"/>
      <c r="M78" s="13"/>
      <c r="N78" s="13"/>
      <c r="O78" s="13"/>
    </row>
    <row r="79" spans="1:15">
      <c r="A79" s="13"/>
      <c r="B79" s="13"/>
      <c r="C79" s="13" t="s">
        <v>96</v>
      </c>
      <c r="D79" s="13" t="s">
        <v>448</v>
      </c>
      <c r="E79" s="13"/>
      <c r="F79" s="13"/>
      <c r="G79" s="13"/>
      <c r="H79" s="13"/>
      <c r="I79" s="13">
        <v>30</v>
      </c>
      <c r="J79" s="13"/>
      <c r="K79" s="13"/>
      <c r="L79" s="13"/>
      <c r="M79" s="13"/>
      <c r="N79" s="13"/>
      <c r="O79" s="13"/>
    </row>
    <row r="80" spans="1:15">
      <c r="A80" s="13"/>
      <c r="B80" s="13"/>
      <c r="C80" s="13" t="s">
        <v>123</v>
      </c>
      <c r="D80" s="13" t="s">
        <v>449</v>
      </c>
      <c r="E80" s="13"/>
      <c r="F80" s="13"/>
      <c r="G80" s="13"/>
      <c r="H80" s="13"/>
      <c r="I80" s="13">
        <v>31</v>
      </c>
      <c r="J80" s="13"/>
      <c r="K80" s="13"/>
      <c r="L80" s="13"/>
      <c r="M80" s="13"/>
      <c r="N80" s="13"/>
      <c r="O80" s="13"/>
    </row>
    <row r="81" spans="1:15">
      <c r="A81" s="13"/>
      <c r="B81" s="13"/>
      <c r="C81" s="13" t="s">
        <v>183</v>
      </c>
      <c r="D81" s="13" t="s">
        <v>450</v>
      </c>
      <c r="E81" s="13"/>
      <c r="F81" s="13"/>
      <c r="G81" s="13"/>
      <c r="H81" s="13"/>
      <c r="I81" s="13">
        <v>32</v>
      </c>
      <c r="J81" s="13"/>
      <c r="K81" s="13"/>
      <c r="L81" s="13"/>
      <c r="M81" s="13"/>
      <c r="N81" s="13"/>
      <c r="O81" s="13"/>
    </row>
    <row r="82" spans="1:15">
      <c r="A82" s="13"/>
      <c r="B82" s="13"/>
      <c r="C82" s="13" t="s">
        <v>189</v>
      </c>
      <c r="D82" s="13" t="s">
        <v>451</v>
      </c>
      <c r="E82" s="13"/>
      <c r="F82" s="13"/>
      <c r="G82" s="13"/>
      <c r="H82" s="13"/>
      <c r="I82" s="13">
        <v>33</v>
      </c>
      <c r="J82" s="13"/>
      <c r="K82" s="13"/>
      <c r="L82" s="13"/>
      <c r="M82" s="13"/>
      <c r="N82" s="13"/>
      <c r="O82" s="13"/>
    </row>
    <row r="83" spans="1:15">
      <c r="A83" s="13"/>
      <c r="B83" s="13"/>
      <c r="C83" s="13" t="s">
        <v>202</v>
      </c>
      <c r="D83" s="13" t="s">
        <v>264</v>
      </c>
      <c r="E83" s="13"/>
      <c r="F83" s="13"/>
      <c r="G83" s="13"/>
      <c r="H83" s="13"/>
      <c r="I83" s="13">
        <v>34</v>
      </c>
      <c r="J83" s="13"/>
      <c r="K83" s="13"/>
      <c r="L83" s="13"/>
      <c r="M83" s="13"/>
      <c r="N83" s="13"/>
      <c r="O83" s="13"/>
    </row>
    <row r="84" spans="1:15">
      <c r="A84" s="13"/>
      <c r="B84" s="13"/>
      <c r="C84" s="13"/>
      <c r="D84" s="13" t="s">
        <v>58</v>
      </c>
      <c r="E84" s="13"/>
      <c r="F84" s="13"/>
      <c r="G84" s="13"/>
      <c r="H84" s="13"/>
      <c r="I84" s="13">
        <v>35</v>
      </c>
      <c r="J84" s="13"/>
      <c r="K84" s="13"/>
      <c r="L84" s="13"/>
      <c r="M84" s="13"/>
      <c r="N84" s="13"/>
      <c r="O84" s="13"/>
    </row>
    <row r="85" spans="1:15">
      <c r="A85" s="13"/>
      <c r="B85" s="13"/>
      <c r="C85" s="13"/>
      <c r="D85" s="13" t="s">
        <v>452</v>
      </c>
      <c r="E85" s="13"/>
      <c r="F85" s="13"/>
      <c r="G85" s="13"/>
      <c r="H85" s="13"/>
      <c r="I85" s="13">
        <v>36</v>
      </c>
      <c r="J85" s="13"/>
      <c r="K85" s="13"/>
      <c r="L85" s="13"/>
      <c r="M85" s="13"/>
      <c r="N85" s="13"/>
      <c r="O85" s="13"/>
    </row>
    <row r="86" spans="1:15">
      <c r="A86" s="13"/>
      <c r="B86" s="13"/>
      <c r="C86" s="13"/>
      <c r="D86" s="13" t="s">
        <v>453</v>
      </c>
      <c r="E86" s="13"/>
      <c r="F86" s="13"/>
      <c r="G86" s="13"/>
      <c r="H86" s="13"/>
      <c r="I86" s="13">
        <v>37</v>
      </c>
      <c r="J86" s="13"/>
      <c r="K86" s="13"/>
      <c r="L86" s="13"/>
      <c r="M86" s="13"/>
      <c r="N86" s="13"/>
      <c r="O86" s="13"/>
    </row>
    <row r="87" spans="1:15">
      <c r="A87" s="13"/>
      <c r="B87" s="13"/>
      <c r="C87" s="13"/>
      <c r="D87" s="13" t="s">
        <v>35</v>
      </c>
      <c r="E87" s="13"/>
      <c r="F87" s="13"/>
      <c r="G87" s="13"/>
      <c r="H87" s="13"/>
      <c r="I87" s="13">
        <v>38</v>
      </c>
      <c r="J87" s="13"/>
      <c r="K87" s="13"/>
      <c r="L87" s="13"/>
      <c r="M87" s="13"/>
      <c r="N87" s="13"/>
      <c r="O87" s="13"/>
    </row>
    <row r="88" spans="1:15">
      <c r="A88" s="13"/>
      <c r="B88" s="13"/>
      <c r="C88" s="13"/>
      <c r="D88" s="13" t="s">
        <v>160</v>
      </c>
      <c r="E88" s="13"/>
      <c r="F88" s="13"/>
      <c r="G88" s="13"/>
      <c r="H88" s="13"/>
      <c r="I88" s="13">
        <v>39</v>
      </c>
      <c r="J88" s="13"/>
      <c r="K88" s="13"/>
      <c r="L88" s="13"/>
      <c r="M88" s="13"/>
      <c r="N88" s="13"/>
      <c r="O88" s="13"/>
    </row>
    <row r="89" spans="1:15">
      <c r="A89" s="13"/>
      <c r="B89" s="13"/>
      <c r="C89" s="13"/>
      <c r="D89" s="13" t="s">
        <v>454</v>
      </c>
      <c r="E89" s="13"/>
      <c r="F89" s="13"/>
      <c r="G89" s="13"/>
      <c r="H89" s="13"/>
      <c r="I89" s="13">
        <v>40</v>
      </c>
      <c r="J89" s="13"/>
      <c r="K89" s="13"/>
      <c r="L89" s="13"/>
      <c r="M89" s="13"/>
      <c r="N89" s="13"/>
      <c r="O89" s="13"/>
    </row>
    <row r="90" spans="1:15">
      <c r="A90" s="13"/>
      <c r="B90" s="13"/>
      <c r="C90" s="13"/>
      <c r="D90" s="13" t="s">
        <v>245</v>
      </c>
      <c r="E90" s="13"/>
      <c r="F90" s="13"/>
      <c r="G90" s="13"/>
      <c r="H90" s="13"/>
      <c r="I90" s="13">
        <v>41</v>
      </c>
      <c r="J90" s="13"/>
      <c r="K90" s="13"/>
      <c r="L90" s="13"/>
      <c r="M90" s="13"/>
      <c r="N90" s="13"/>
      <c r="O90" s="13"/>
    </row>
    <row r="91" spans="1:15">
      <c r="A91" s="13"/>
      <c r="B91" s="13"/>
      <c r="C91" s="13"/>
      <c r="D91" s="13" t="s">
        <v>269</v>
      </c>
      <c r="E91" s="13"/>
      <c r="F91" s="13"/>
      <c r="G91" s="13"/>
      <c r="H91" s="13"/>
      <c r="I91" s="13">
        <v>42</v>
      </c>
      <c r="J91" s="13"/>
      <c r="K91" s="13"/>
      <c r="L91" s="13"/>
      <c r="M91" s="13"/>
      <c r="N91" s="13"/>
      <c r="O91" s="13"/>
    </row>
    <row r="92" spans="1:15">
      <c r="A92" s="13"/>
      <c r="B92" s="13"/>
      <c r="C92" s="13"/>
      <c r="D92" s="13"/>
      <c r="E92" s="13"/>
      <c r="F92" s="13"/>
      <c r="G92" s="13"/>
      <c r="H92" s="13"/>
      <c r="I92" s="13">
        <v>43</v>
      </c>
      <c r="J92" s="13"/>
      <c r="K92" s="13"/>
      <c r="L92" s="13"/>
      <c r="M92" s="13"/>
      <c r="N92" s="13"/>
      <c r="O92" s="13"/>
    </row>
    <row r="93" spans="1:15">
      <c r="A93" s="13"/>
      <c r="B93" s="13"/>
      <c r="C93" s="13"/>
      <c r="D93" s="13"/>
      <c r="E93" s="13"/>
      <c r="F93" s="13"/>
      <c r="G93" s="13"/>
      <c r="H93" s="13"/>
      <c r="I93" s="13">
        <v>44</v>
      </c>
      <c r="J93" s="13"/>
      <c r="K93" s="13"/>
      <c r="L93" s="13"/>
      <c r="M93" s="13"/>
      <c r="N93" s="13"/>
      <c r="O93" s="13"/>
    </row>
    <row r="94" spans="1:15">
      <c r="A94" s="13"/>
      <c r="B94" s="13"/>
      <c r="C94" s="13"/>
      <c r="D94" s="13"/>
      <c r="E94" s="13"/>
      <c r="F94" s="13"/>
      <c r="G94" s="13"/>
      <c r="H94" s="13"/>
      <c r="I94" s="13">
        <v>45</v>
      </c>
      <c r="J94" s="13"/>
      <c r="K94" s="13"/>
      <c r="L94" s="13"/>
      <c r="M94" s="13"/>
      <c r="N94" s="13"/>
      <c r="O94" s="13"/>
    </row>
    <row r="95" spans="1:15">
      <c r="A95" s="13"/>
      <c r="B95" s="13"/>
      <c r="C95" s="13"/>
      <c r="D95" s="13"/>
      <c r="E95" s="13"/>
      <c r="F95" s="13"/>
      <c r="G95" s="13"/>
      <c r="H95" s="13"/>
      <c r="I95" s="13">
        <v>46</v>
      </c>
      <c r="J95" s="13"/>
      <c r="K95" s="13"/>
      <c r="L95" s="13"/>
      <c r="M95" s="13"/>
      <c r="N95" s="13"/>
      <c r="O95" s="13"/>
    </row>
    <row r="96" spans="1:15">
      <c r="A96" s="13"/>
      <c r="B96" s="13"/>
      <c r="C96" s="13"/>
      <c r="D96" s="13"/>
      <c r="E96" s="13"/>
      <c r="F96" s="13"/>
      <c r="G96" s="13"/>
      <c r="H96" s="13"/>
      <c r="I96" s="13">
        <v>47</v>
      </c>
      <c r="J96" s="13"/>
      <c r="K96" s="13"/>
      <c r="L96" s="13"/>
      <c r="M96" s="13"/>
      <c r="N96" s="13"/>
      <c r="O96" s="13"/>
    </row>
    <row r="97" spans="1:15">
      <c r="A97" s="13"/>
      <c r="B97" s="13"/>
      <c r="C97" s="13"/>
      <c r="D97" s="13"/>
      <c r="E97" s="13"/>
      <c r="F97" s="13"/>
      <c r="G97" s="13"/>
      <c r="H97" s="13"/>
      <c r="I97" s="13">
        <v>48</v>
      </c>
      <c r="J97" s="13"/>
      <c r="K97" s="13"/>
      <c r="L97" s="13"/>
      <c r="M97" s="13"/>
      <c r="N97" s="13"/>
      <c r="O97" s="13"/>
    </row>
    <row r="98" spans="1:15">
      <c r="A98" s="13"/>
      <c r="B98" s="13"/>
      <c r="C98" s="13"/>
      <c r="D98" s="13"/>
      <c r="E98" s="13"/>
      <c r="F98" s="13"/>
      <c r="G98" s="13"/>
      <c r="H98" s="13"/>
      <c r="I98" s="13">
        <v>49</v>
      </c>
      <c r="J98" s="13"/>
      <c r="K98" s="13"/>
      <c r="L98" s="13"/>
      <c r="M98" s="13"/>
      <c r="N98" s="13"/>
      <c r="O98" s="13"/>
    </row>
    <row r="99" spans="1:15">
      <c r="A99" s="13"/>
      <c r="B99" s="13"/>
      <c r="C99" s="13"/>
      <c r="D99" s="13"/>
      <c r="E99" s="13"/>
      <c r="F99" s="13"/>
      <c r="G99" s="13"/>
      <c r="H99" s="13"/>
      <c r="I99" s="13">
        <v>50</v>
      </c>
      <c r="J99" s="13"/>
      <c r="K99" s="13"/>
      <c r="L99" s="13"/>
      <c r="M99" s="13"/>
      <c r="N99" s="13"/>
      <c r="O99" s="13"/>
    </row>
  </sheetData>
  <sortState xmlns:xlrd2="http://schemas.microsoft.com/office/spreadsheetml/2017/richdata2" ref="E5:E29">
    <sortCondition ref="E5:E29"/>
  </sortState>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8"/>
  <sheetViews>
    <sheetView showGridLines="0" workbookViewId="0">
      <selection activeCell="A8" sqref="A8"/>
    </sheetView>
  </sheetViews>
  <sheetFormatPr defaultRowHeight="14.45"/>
  <cols>
    <col min="1" max="1" width="28" customWidth="1"/>
    <col min="2" max="5" width="24" customWidth="1"/>
  </cols>
  <sheetData>
    <row r="1" spans="1:5" ht="23.45">
      <c r="A1" s="1" t="s">
        <v>456</v>
      </c>
    </row>
    <row r="2" spans="1:5">
      <c r="A2" s="2" t="s">
        <v>457</v>
      </c>
    </row>
    <row r="4" spans="1:5">
      <c r="A4" s="20" t="s">
        <v>458</v>
      </c>
    </row>
    <row r="5" spans="1:5">
      <c r="A5" s="91" t="s">
        <v>459</v>
      </c>
      <c r="B5" s="93"/>
      <c r="C5" s="93"/>
      <c r="D5" s="93"/>
      <c r="E5" s="94"/>
    </row>
    <row r="6" spans="1:5">
      <c r="A6" s="95"/>
      <c r="B6" s="96"/>
      <c r="C6" s="96"/>
      <c r="D6" s="96"/>
      <c r="E6" s="97"/>
    </row>
    <row r="8" spans="1:5">
      <c r="A8" s="20" t="s">
        <v>460</v>
      </c>
    </row>
    <row r="9" spans="1:5">
      <c r="A9" s="91" t="s">
        <v>461</v>
      </c>
      <c r="B9" s="93"/>
      <c r="C9" s="93"/>
      <c r="D9" s="93"/>
      <c r="E9" s="94"/>
    </row>
    <row r="10" spans="1:5">
      <c r="A10" s="95"/>
      <c r="B10" s="96"/>
      <c r="C10" s="96"/>
      <c r="D10" s="96"/>
      <c r="E10" s="97"/>
    </row>
    <row r="12" spans="1:5">
      <c r="A12" s="20" t="s">
        <v>462</v>
      </c>
    </row>
    <row r="13" spans="1:5">
      <c r="A13" s="91" t="s">
        <v>463</v>
      </c>
      <c r="B13" s="93"/>
      <c r="C13" s="93"/>
      <c r="D13" s="93"/>
      <c r="E13" s="94"/>
    </row>
    <row r="14" spans="1:5">
      <c r="A14" s="95"/>
      <c r="B14" s="96"/>
      <c r="C14" s="96"/>
      <c r="D14" s="96"/>
      <c r="E14" s="97"/>
    </row>
    <row r="16" spans="1:5">
      <c r="A16" s="20" t="s">
        <v>464</v>
      </c>
    </row>
    <row r="17" spans="1:5">
      <c r="A17" s="91" t="s">
        <v>465</v>
      </c>
      <c r="B17" s="93"/>
      <c r="C17" s="93"/>
      <c r="D17" s="93"/>
      <c r="E17" s="94"/>
    </row>
    <row r="18" spans="1:5">
      <c r="A18" s="95"/>
      <c r="B18" s="96"/>
      <c r="C18" s="96"/>
      <c r="D18" s="96"/>
      <c r="E18" s="97"/>
    </row>
  </sheetData>
  <mergeCells count="4">
    <mergeCell ref="A9:E10"/>
    <mergeCell ref="A5:E6"/>
    <mergeCell ref="A17:E18"/>
    <mergeCell ref="A13:E14"/>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1256bc4-e474-4bad-af30-f42d44dd41ef">
      <Terms xmlns="http://schemas.microsoft.com/office/infopath/2007/PartnerControls"/>
    </lcf76f155ced4ddcb4097134ff3c332f>
    <TaxCatchAll xmlns="f15ccc10-8514-432c-a6df-d38782f6d87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5B703419BD2D549B3CBD0D0940575B6" ma:contentTypeVersion="16" ma:contentTypeDescription="Create a new document." ma:contentTypeScope="" ma:versionID="d42e79c902109fdcaa857e000f8b9272">
  <xsd:schema xmlns:xsd="http://www.w3.org/2001/XMLSchema" xmlns:xs="http://www.w3.org/2001/XMLSchema" xmlns:p="http://schemas.microsoft.com/office/2006/metadata/properties" xmlns:ns2="c1256bc4-e474-4bad-af30-f42d44dd41ef" xmlns:ns3="f15ccc10-8514-432c-a6df-d38782f6d875" targetNamespace="http://schemas.microsoft.com/office/2006/metadata/properties" ma:root="true" ma:fieldsID="5a8b61ed4de45788c6f34a1af4323886" ns2:_="" ns3:_="">
    <xsd:import namespace="c1256bc4-e474-4bad-af30-f42d44dd41ef"/>
    <xsd:import namespace="f15ccc10-8514-432c-a6df-d38782f6d87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ServiceObjectDetectorVersions" minOccurs="0"/>
                <xsd:element ref="ns2:MediaServiceLocation" minOccurs="0"/>
                <xsd:element ref="ns2:MediaLengthInSecond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256bc4-e474-4bad-af30-f42d44dd41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1bf42542-1403-48d9-9d03-9f633887b3cd"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15ccc10-8514-432c-a6df-d38782f6d875"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89a1965f-fede-4b64-88a8-b6bf27d810a2}" ma:internalName="TaxCatchAll" ma:showField="CatchAllData" ma:web="f15ccc10-8514-432c-a6df-d38782f6d875">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79F877-3EAE-4435-9F82-001A9C5A98F7}"/>
</file>

<file path=customXml/itemProps2.xml><?xml version="1.0" encoding="utf-8"?>
<ds:datastoreItem xmlns:ds="http://schemas.openxmlformats.org/officeDocument/2006/customXml" ds:itemID="{DCC174BC-82CA-448C-A77D-0D95D395334C}"/>
</file>

<file path=customXml/itemProps3.xml><?xml version="1.0" encoding="utf-8"?>
<ds:datastoreItem xmlns:ds="http://schemas.openxmlformats.org/officeDocument/2006/customXml" ds:itemID="{A4A60EAC-76F1-4583-9C04-25FE80165E02}"/>
</file>

<file path=docMetadata/LabelInfo.xml><?xml version="1.0" encoding="utf-8"?>
<clbl:labelList xmlns:clbl="http://schemas.microsoft.com/office/2020/mipLabelMetadata">
  <clbl:label id="{b9b7cde0-d580-4baa-b993-829072e57bff}" enabled="1" method="Standard" siteId="{07420c3d-c141-4c67-b6f3-f448e5adb67b}"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Tyler.Reck</cp:lastModifiedBy>
  <cp:revision/>
  <dcterms:created xsi:type="dcterms:W3CDTF">2026-06-17T18:45:47Z</dcterms:created>
  <dcterms:modified xsi:type="dcterms:W3CDTF">2026-08-04T13:37:20Z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0x01010085B703419BD2D549B3CBD0D0940575B6</vt:lpwstr>
  </property>
  <property fmtid="{D5CDD505-2E9C-101B-9397-08002B2CF9AE}" pid="3" name="MediaServiceImageTags">
    <vt:lpwstr/>
  </property>
</Properties>
</file>